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inmay Deshpande\Desktop\Atharv Penter\Excel\"/>
    </mc:Choice>
  </mc:AlternateContent>
  <xr:revisionPtr revIDLastSave="0" documentId="13_ncr:1_{086122BC-C1D4-4B11-AFAC-E3DD7843653C}" xr6:coauthVersionLast="47" xr6:coauthVersionMax="47" xr10:uidLastSave="{00000000-0000-0000-0000-000000000000}"/>
  <bookViews>
    <workbookView xWindow="-108" yWindow="-108" windowWidth="23256" windowHeight="12456" tabRatio="884" activeTab="5" xr2:uid="{4A79C6A5-4322-4BA2-87E2-248A552364AA}"/>
  </bookViews>
  <sheets>
    <sheet name="Day1(Basic)" sheetId="1" r:id="rId1"/>
    <sheet name="Day2(Filter&amp;Sort)" sheetId="2" r:id="rId2"/>
    <sheet name="Day3(duplicates,merge,wrap)" sheetId="3" r:id="rId3"/>
    <sheet name="Day4(Comment,Slicers,Table)" sheetId="4" r:id="rId4"/>
    <sheet name="Day5(VLookUp)" sheetId="5" r:id="rId5"/>
    <sheet name="Day6(Pivot Table)" sheetId="6" r:id="rId6"/>
  </sheets>
  <definedNames>
    <definedName name="_xlnm._FilterDatabase" localSheetId="1" hidden="1">'Day2(Filter&amp;Sort)'!$A$1:$J$1</definedName>
  </definedNames>
  <calcPr calcId="191029"/>
  <pivotCaches>
    <pivotCache cacheId="4"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6" l="1"/>
  <c r="I6" i="6"/>
  <c r="H6" i="6"/>
  <c r="J5" i="6"/>
  <c r="I5" i="6"/>
  <c r="H5" i="6"/>
  <c r="J4" i="6"/>
  <c r="I4" i="6"/>
  <c r="H4" i="6"/>
  <c r="J3" i="6"/>
  <c r="I3" i="6"/>
  <c r="H3" i="6"/>
  <c r="J2" i="6"/>
  <c r="I2" i="6"/>
  <c r="H2" i="6"/>
  <c r="M4" i="5"/>
  <c r="M5" i="5"/>
  <c r="J6" i="5"/>
  <c r="I6" i="5"/>
  <c r="H6" i="5"/>
  <c r="J5" i="5"/>
  <c r="I5" i="5"/>
  <c r="H5" i="5"/>
  <c r="J4" i="5"/>
  <c r="I4" i="5"/>
  <c r="H4" i="5"/>
  <c r="J3" i="5"/>
  <c r="I3" i="5"/>
  <c r="H3" i="5"/>
  <c r="J2" i="5"/>
  <c r="I2" i="5"/>
  <c r="H2" i="5"/>
  <c r="J6" i="4"/>
  <c r="I6" i="4"/>
  <c r="H6" i="4"/>
  <c r="J5" i="4"/>
  <c r="I5" i="4"/>
  <c r="H5" i="4"/>
  <c r="J4" i="4"/>
  <c r="I4" i="4"/>
  <c r="H4" i="4"/>
  <c r="J3" i="4"/>
  <c r="I3" i="4"/>
  <c r="H3" i="4"/>
  <c r="J2" i="4"/>
  <c r="I2" i="4"/>
  <c r="H2" i="4"/>
  <c r="J5" i="3"/>
  <c r="I5" i="3"/>
  <c r="H5" i="3"/>
  <c r="J8" i="3"/>
  <c r="I8" i="3"/>
  <c r="H8" i="3"/>
  <c r="J7" i="3"/>
  <c r="I7" i="3"/>
  <c r="H7" i="3"/>
  <c r="J6" i="3"/>
  <c r="I6" i="3"/>
  <c r="H6" i="3"/>
  <c r="J4" i="3"/>
  <c r="I4" i="3"/>
  <c r="H4" i="3"/>
  <c r="J3" i="3"/>
  <c r="I3" i="3"/>
  <c r="H3" i="3"/>
  <c r="J2" i="2"/>
  <c r="I2" i="2"/>
  <c r="H2" i="2"/>
  <c r="J6" i="2"/>
  <c r="I6" i="2"/>
  <c r="H6" i="2"/>
  <c r="J5" i="2"/>
  <c r="I5" i="2"/>
  <c r="H5" i="2"/>
  <c r="J4" i="2"/>
  <c r="I4" i="2"/>
  <c r="H4" i="2"/>
  <c r="J3" i="2"/>
  <c r="I3" i="2"/>
  <c r="H3" i="2"/>
  <c r="J6" i="1"/>
  <c r="J4" i="1"/>
  <c r="J5" i="1"/>
  <c r="J3" i="1"/>
  <c r="J2" i="1"/>
  <c r="I3" i="1"/>
  <c r="I4" i="1"/>
  <c r="I5" i="1"/>
  <c r="I6" i="1"/>
  <c r="I2" i="1"/>
  <c r="H3" i="1"/>
  <c r="H4" i="1"/>
  <c r="H5" i="1"/>
  <c r="H6"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Chinmay Deshpande</author>
  </authors>
  <commentList>
    <comment ref="J3" authorId="0" shapeId="0" xr:uid="{95073A09-E202-4F34-9AC1-8112FCC46025}">
      <text>
        <r>
          <rPr>
            <b/>
            <sz val="9"/>
            <color indexed="81"/>
            <rFont val="Tahoma"/>
            <charset val="1"/>
          </rPr>
          <t>Chinmay Deshpande:</t>
        </r>
        <r>
          <rPr>
            <sz val="9"/>
            <color indexed="81"/>
            <rFont val="Tahoma"/>
            <charset val="1"/>
          </rPr>
          <t xml:space="preserve">
Not an Employee.
</t>
        </r>
      </text>
    </comment>
  </commentList>
</comments>
</file>

<file path=xl/sharedStrings.xml><?xml version="1.0" encoding="utf-8"?>
<sst xmlns="http://schemas.openxmlformats.org/spreadsheetml/2006/main" count="182" uniqueCount="63">
  <si>
    <t>Sr. No</t>
  </si>
  <si>
    <t>Firstname</t>
  </si>
  <si>
    <t>Lastname</t>
  </si>
  <si>
    <t>Date of Joining</t>
  </si>
  <si>
    <t>Sal - June</t>
  </si>
  <si>
    <t>Sal - July</t>
  </si>
  <si>
    <t>Sal - Aug</t>
  </si>
  <si>
    <t>Avg - Sal</t>
  </si>
  <si>
    <t>Total - Sal</t>
  </si>
  <si>
    <t>Atharv</t>
  </si>
  <si>
    <t>Kshitij</t>
  </si>
  <si>
    <t>Kunal</t>
  </si>
  <si>
    <t>Prajwal</t>
  </si>
  <si>
    <t>Shreyash</t>
  </si>
  <si>
    <t>Penter</t>
  </si>
  <si>
    <t>Gade</t>
  </si>
  <si>
    <t>Sangle</t>
  </si>
  <si>
    <t>Dighe</t>
  </si>
  <si>
    <t>Dhole</t>
  </si>
  <si>
    <t>29/8/2024</t>
  </si>
  <si>
    <t>16/7/2024</t>
  </si>
  <si>
    <t>Full Name</t>
  </si>
  <si>
    <t xml:space="preserve"> </t>
  </si>
  <si>
    <t>What is Cell ?     -&gt; It is the combination of rows and columns.</t>
  </si>
  <si>
    <t>This is the basic table created in excel.</t>
  </si>
  <si>
    <t>In this table if we don’t want to type number one by one we can use or just type 1,2 then select both of them then at right bottom we can see plus sign then we can drag that.</t>
  </si>
  <si>
    <t>If Some letter goes outside the box then we need to just double click ABCD</t>
  </si>
  <si>
    <t>Format Painter is used to make all enteries in as same as selected column.</t>
  </si>
  <si>
    <t>To get Average we used a Formula as =AVG then use tab key so it will become as = AVG(select box &amp; use coma to separate them)</t>
  </si>
  <si>
    <t>To get Sum we used a Formula as =SUM then use tab key so it will become as = SUM(select box &amp; use coma to separate them)</t>
  </si>
  <si>
    <t>To merge two text we use Concatenate formula which goes like = CONCATENATE()</t>
  </si>
  <si>
    <t>SUM()</t>
  </si>
  <si>
    <t>AVG()</t>
  </si>
  <si>
    <t>CONCATENATE()</t>
  </si>
  <si>
    <t>Format Painter</t>
  </si>
  <si>
    <t>In this Table we used Filter Which is in Data or we can just ( Ctrl+Shift+L ). Used for sorting the data from smallest to largest</t>
  </si>
  <si>
    <t>We can also use Conditional Formatting to sort the values, we can use many options like color scales etc</t>
  </si>
  <si>
    <t>To add a new column in between just click on the column and insert.</t>
  </si>
  <si>
    <t>To Find duplicate values in the table we just simple need to select all table then go to conditional Formatting in that go to highlight cell rules &amp; select duplicate values.</t>
  </si>
  <si>
    <t>To delete duplicate values just select table go to data &amp; then select remove Duplicates option in that select what we have to remove.</t>
  </si>
  <si>
    <t>Simple way to add column and row is to ( Ctrl + y )</t>
  </si>
  <si>
    <t>To Give title to table we just need to merge &amp; center</t>
  </si>
  <si>
    <t>Employee Details</t>
  </si>
  <si>
    <t>If we want a big sentence in single box we just need to select the box and use Wrap Text Option in HOME.</t>
  </si>
  <si>
    <t>Shreyash has highest salary.</t>
  </si>
  <si>
    <r>
      <t>To add C</t>
    </r>
    <r>
      <rPr>
        <b/>
        <sz val="11"/>
        <color theme="1"/>
        <rFont val="Calibri"/>
        <family val="2"/>
        <scheme val="minor"/>
      </rPr>
      <t>omment</t>
    </r>
    <r>
      <rPr>
        <sz val="11"/>
        <color theme="1"/>
        <rFont val="Calibri"/>
        <family val="2"/>
        <scheme val="minor"/>
      </rPr>
      <t xml:space="preserve"> in the table we just need to right click on the box and then insert C</t>
    </r>
    <r>
      <rPr>
        <b/>
        <sz val="11"/>
        <color theme="1"/>
        <rFont val="Calibri"/>
        <family val="2"/>
        <scheme val="minor"/>
      </rPr>
      <t>omment</t>
    </r>
    <r>
      <rPr>
        <sz val="11"/>
        <color theme="1"/>
        <rFont val="Calibri"/>
        <family val="2"/>
        <scheme val="minor"/>
      </rPr>
      <t>.</t>
    </r>
  </si>
  <si>
    <r>
      <t xml:space="preserve">To make Table of given enteris we just need to go to data &amp; select </t>
    </r>
    <r>
      <rPr>
        <b/>
        <sz val="11"/>
        <color theme="1"/>
        <rFont val="Calibri"/>
        <family val="2"/>
        <scheme val="minor"/>
      </rPr>
      <t>from table range</t>
    </r>
    <r>
      <rPr>
        <sz val="11"/>
        <color theme="1"/>
        <rFont val="Calibri"/>
        <family val="2"/>
        <scheme val="minor"/>
      </rPr>
      <t xml:space="preserve"> option it will create a table.</t>
    </r>
  </si>
  <si>
    <r>
      <rPr>
        <b/>
        <u/>
        <sz val="11"/>
        <color theme="1"/>
        <rFont val="Calibri"/>
        <family val="2"/>
        <scheme val="minor"/>
      </rPr>
      <t>Slicers</t>
    </r>
    <r>
      <rPr>
        <u/>
        <sz val="11"/>
        <color theme="1"/>
        <rFont val="Calibri"/>
        <family val="2"/>
        <scheme val="minor"/>
      </rPr>
      <t xml:space="preserve"> are separate filters for headers. To select it we need to go to insert in that select slicers option. It is easy than filters.</t>
    </r>
  </si>
  <si>
    <r>
      <rPr>
        <b/>
        <u/>
        <sz val="11"/>
        <color theme="1"/>
        <rFont val="Calibri"/>
        <family val="2"/>
        <scheme val="minor"/>
      </rPr>
      <t>Vertical LookUp (VlookUp)</t>
    </r>
    <r>
      <rPr>
        <sz val="11"/>
        <color theme="1"/>
        <rFont val="Calibri"/>
        <family val="2"/>
        <scheme val="minor"/>
      </rPr>
      <t xml:space="preserve"> is like filter just we use formula like = </t>
    </r>
    <r>
      <rPr>
        <u/>
        <sz val="11"/>
        <color theme="1"/>
        <rFont val="Calibri"/>
        <family val="2"/>
        <scheme val="minor"/>
      </rPr>
      <t>VLOOKUP(select box of which we need to find lookup,select all table,select last box,given last box number,True &amp; False)</t>
    </r>
  </si>
  <si>
    <t>Create table of which columns we need to find vlookup.</t>
  </si>
  <si>
    <t>(fn+f4)</t>
  </si>
  <si>
    <t>Row Labels</t>
  </si>
  <si>
    <t>Grand Total</t>
  </si>
  <si>
    <t>Atharv Penter</t>
  </si>
  <si>
    <t>Kshitij Gade</t>
  </si>
  <si>
    <t>Kunal Sangle</t>
  </si>
  <si>
    <t>Prajwal Dighe</t>
  </si>
  <si>
    <t>Shreyash Dhole</t>
  </si>
  <si>
    <t>Sum of Avg - Sal</t>
  </si>
  <si>
    <t>PIVOT TABLE ---&gt;</t>
  </si>
  <si>
    <t>To create Pivot Table we just need to go to insert in that select pivot table option, then by deault it select tables, then it has four options filter, columns,rows,values.</t>
  </si>
  <si>
    <t>we can also change the sum values by right click on the value then go to value field setting then in that select avg,sum,count,etc.</t>
  </si>
  <si>
    <t>Max of Total - 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</si>
</sst>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b/>
      <u/>
      <sz val="11"/>
      <color theme="1"/>
      <name val="Calibri"/>
      <family val="2"/>
      <scheme val="minor"/>
    </font>
    <font>
      <u/>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6"/>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1" fillId="0" borderId="0" xfId="0" applyFont="1"/>
    <xf numFmtId="0" fontId="1" fillId="2" borderId="1" xfId="0" applyFont="1"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center"/>
    </xf>
    <xf numFmtId="14" fontId="0" fillId="3"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164" fontId="0" fillId="4" borderId="1" xfId="0" applyNumberFormat="1" applyFill="1" applyBorder="1" applyAlignment="1">
      <alignment horizontal="center"/>
    </xf>
    <xf numFmtId="0" fontId="1" fillId="2" borderId="2" xfId="0" applyFont="1" applyFill="1" applyBorder="1" applyAlignment="1">
      <alignment horizontal="center"/>
    </xf>
    <xf numFmtId="0" fontId="0" fillId="0" borderId="0" xfId="0" applyAlignment="1">
      <alignment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5" fillId="0" borderId="0" xfId="0" applyFont="1"/>
    <xf numFmtId="0" fontId="0" fillId="3" borderId="1" xfId="0" applyFill="1" applyBorder="1" applyAlignment="1">
      <alignment horizontal="left"/>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2"/>
        </patternFill>
      </fill>
      <alignment horizontal="center"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may Deshpande" refreshedDate="45917.554976157408" createdVersion="8" refreshedVersion="8" minRefreshableVersion="3" recordCount="5" xr:uid="{35681EC0-3C27-4A46-B72B-1973DFCCC6FE}">
  <cacheSource type="worksheet">
    <worksheetSource ref="A1:J6" sheet="Day6(Pivot Table)"/>
  </cacheSource>
  <cacheFields count="10">
    <cacheField name="Sr. No" numFmtId="0">
      <sharedItems containsSemiMixedTypes="0" containsString="0" containsNumber="1" containsInteger="1" minValue="1" maxValue="5"/>
    </cacheField>
    <cacheField name="Firstname" numFmtId="0">
      <sharedItems count="5">
        <s v="Atharv"/>
        <s v="Kshitij"/>
        <s v="Kunal"/>
        <s v="Prajwal"/>
        <s v="Shreyash"/>
      </sharedItems>
    </cacheField>
    <cacheField name="Lastname" numFmtId="0">
      <sharedItems/>
    </cacheField>
    <cacheField name="Date of Joining" numFmtId="0">
      <sharedItems containsDate="1" containsMixedTypes="1" minDate="2024-01-09T00:00:00" maxDate="2024-12-02T00:00:00"/>
    </cacheField>
    <cacheField name="Sal - June" numFmtId="0">
      <sharedItems containsSemiMixedTypes="0" containsString="0" containsNumber="1" containsInteger="1" minValue="15000" maxValue="21000"/>
    </cacheField>
    <cacheField name="Sal - July" numFmtId="0">
      <sharedItems containsSemiMixedTypes="0" containsString="0" containsNumber="1" containsInteger="1" minValue="16000" maxValue="22000"/>
    </cacheField>
    <cacheField name="Sal - Aug" numFmtId="0">
      <sharedItems containsSemiMixedTypes="0" containsString="0" containsNumber="1" containsInteger="1" minValue="20000" maxValue="27000"/>
    </cacheField>
    <cacheField name="Avg - Sal" numFmtId="0">
      <sharedItems containsSemiMixedTypes="0" containsString="0" containsNumber="1" minValue="17000" maxValue="22000"/>
    </cacheField>
    <cacheField name="Total - Sal" numFmtId="0">
      <sharedItems containsSemiMixedTypes="0" containsString="0" containsNumber="1" containsInteger="1" minValue="51000" maxValue="66000"/>
    </cacheField>
    <cacheField name="Full Name" numFmtId="0">
      <sharedItems count="5">
        <s v="Atharv Penter"/>
        <s v="Kshitij Gade"/>
        <s v="Kunal Sangle"/>
        <s v="Prajwal Dighe"/>
        <s v="Shreyash Dho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s v="Penter"/>
    <d v="2024-02-07T00:00:00"/>
    <n v="16000"/>
    <n v="21000"/>
    <n v="27000"/>
    <n v="21333.333333333332"/>
    <n v="64000"/>
    <x v="0"/>
  </r>
  <r>
    <n v="2"/>
    <x v="1"/>
    <s v="Gade"/>
    <d v="2024-01-09T00:00:00"/>
    <n v="17000"/>
    <n v="19000"/>
    <n v="26000"/>
    <n v="20666.666666666668"/>
    <n v="62000"/>
    <x v="1"/>
  </r>
  <r>
    <n v="3"/>
    <x v="2"/>
    <s v="Sangle"/>
    <d v="2024-12-01T00:00:00"/>
    <n v="16000"/>
    <n v="20000"/>
    <n v="22200"/>
    <n v="19400"/>
    <n v="58200"/>
    <x v="2"/>
  </r>
  <r>
    <n v="4"/>
    <x v="3"/>
    <s v="Dighe"/>
    <s v="16/7/2024"/>
    <n v="15000"/>
    <n v="16000"/>
    <n v="20000"/>
    <n v="17000"/>
    <n v="51000"/>
    <x v="3"/>
  </r>
  <r>
    <n v="5"/>
    <x v="4"/>
    <s v="Dhole"/>
    <s v="29/8/2024"/>
    <n v="21000"/>
    <n v="22000"/>
    <n v="23000"/>
    <n v="22000"/>
    <n v="66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5626E-1B0E-42DC-92BD-63969C03ACD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5" firstHeaderRow="0" firstDataRow="1" firstDataCol="1"/>
  <pivotFields count="10">
    <pivotField showAll="0"/>
    <pivotField showAll="0">
      <items count="6">
        <item x="0"/>
        <item x="1"/>
        <item x="2"/>
        <item x="3"/>
        <item x="4"/>
        <item t="default"/>
      </items>
    </pivotField>
    <pivotField showAll="0"/>
    <pivotField showAll="0"/>
    <pivotField showAll="0"/>
    <pivotField showAll="0"/>
    <pivotField showAll="0"/>
    <pivotField dataField="1" showAll="0"/>
    <pivotField dataField="1" showAll="0"/>
    <pivotField axis="axisRow" showAll="0">
      <items count="6">
        <item x="0"/>
        <item x="1"/>
        <item x="2"/>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Sum of Avg - Sal" fld="7" baseField="0" baseItem="0"/>
    <dataField name="Max of Total - Sal" fld="8"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77BB5-CB52-484D-B443-7B7AC3716711}" name="Table1" displayName="Table1" ref="A1:J6" totalsRowShown="0" headerRowDxfId="1" dataDxfId="2" headerRowBorderDxfId="14" tableBorderDxfId="15" totalsRowBorderDxfId="13">
  <autoFilter ref="A1:J6" xr:uid="{26777BB5-CB52-484D-B443-7B7AC3716711}"/>
  <tableColumns count="10">
    <tableColumn id="1" xr3:uid="{ADF1D6FE-1397-4BDE-BB3F-8BBF1160BEA2}" name="Sr. No" dataDxfId="12"/>
    <tableColumn id="2" xr3:uid="{691F4BD1-E0B9-44CB-9057-1576B7E23E4D}" name="Firstname" dataDxfId="11"/>
    <tableColumn id="3" xr3:uid="{A654D946-C19A-4752-905F-970F2917F774}" name="Lastname" dataDxfId="10"/>
    <tableColumn id="4" xr3:uid="{39C03EFD-29DD-45A8-9E1B-D0B1F74D382F}" name="Date of Joining" dataDxfId="9"/>
    <tableColumn id="5" xr3:uid="{D75C9624-CF3D-4FC9-A127-05D8217C55C7}" name="Sal - June" dataDxfId="8"/>
    <tableColumn id="6" xr3:uid="{C80627F3-9825-4EAC-80F8-F21365040D5E}" name="Sal - July" dataDxfId="7"/>
    <tableColumn id="7" xr3:uid="{421530E8-A893-4E59-BF56-EF6160F80737}" name="Sal - Aug" dataDxfId="6"/>
    <tableColumn id="8" xr3:uid="{11714460-AB1A-4DB9-8E4E-DF7D88DC0C7E}" name="Avg - Sal" dataDxfId="5">
      <calculatedColumnFormula>AVERAGE(E2,F2,G2)</calculatedColumnFormula>
    </tableColumn>
    <tableColumn id="9" xr3:uid="{E9BB382F-EDA6-443A-BA33-6EC1CD72BBBE}" name="Total - Sal" dataDxfId="4">
      <calculatedColumnFormula>SUM(E2,F2,G2)</calculatedColumnFormula>
    </tableColumn>
    <tableColumn id="10" xr3:uid="{2B069015-EC92-4E7A-9490-020F4F821216}" name="Full Name" dataDxfId="3">
      <calculatedColumnFormula>CONCATENATE(B2," ",C2)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05EB-1B4F-45FA-AA7C-01DF6629F4C5}">
  <sheetPr>
    <tabColor theme="1"/>
  </sheetPr>
  <dimension ref="A1:J20"/>
  <sheetViews>
    <sheetView zoomScale="130" zoomScaleNormal="130" workbookViewId="0">
      <selection activeCell="J6" sqref="A1:J6"/>
    </sheetView>
  </sheetViews>
  <sheetFormatPr defaultRowHeight="14.4" x14ac:dyDescent="0.3"/>
  <cols>
    <col min="2" max="2" width="9.21875" bestFit="1" customWidth="1"/>
    <col min="4" max="4" width="13.44140625" bestFit="1" customWidth="1"/>
    <col min="10" max="10" width="13.5546875" bestFit="1" customWidth="1"/>
  </cols>
  <sheetData>
    <row r="1" spans="1:10" s="1" customFormat="1" x14ac:dyDescent="0.3">
      <c r="A1" s="2" t="s">
        <v>0</v>
      </c>
      <c r="B1" s="2" t="s">
        <v>1</v>
      </c>
      <c r="C1" s="2" t="s">
        <v>2</v>
      </c>
      <c r="D1" s="2" t="s">
        <v>3</v>
      </c>
      <c r="E1" s="2" t="s">
        <v>4</v>
      </c>
      <c r="F1" s="2" t="s">
        <v>5</v>
      </c>
      <c r="G1" s="2" t="s">
        <v>6</v>
      </c>
      <c r="H1" s="2" t="s">
        <v>7</v>
      </c>
      <c r="I1" s="2" t="s">
        <v>8</v>
      </c>
      <c r="J1" s="2" t="s">
        <v>21</v>
      </c>
    </row>
    <row r="2" spans="1:10" x14ac:dyDescent="0.3">
      <c r="A2" s="3">
        <v>1</v>
      </c>
      <c r="B2" s="3" t="s">
        <v>9</v>
      </c>
      <c r="C2" s="3" t="s">
        <v>14</v>
      </c>
      <c r="D2" s="5">
        <v>45329</v>
      </c>
      <c r="E2" s="3">
        <v>16000</v>
      </c>
      <c r="F2" s="3">
        <v>21000</v>
      </c>
      <c r="G2" s="3">
        <v>27000</v>
      </c>
      <c r="H2" s="4">
        <f>AVERAGE(E2,F2,G2)</f>
        <v>21333.333333333332</v>
      </c>
      <c r="I2" s="3">
        <f>SUM(E2,F2,G2)</f>
        <v>64000</v>
      </c>
      <c r="J2" s="3" t="str">
        <f>CONCATENATE(B2," ",C2)</f>
        <v>Atharv Penter</v>
      </c>
    </row>
    <row r="3" spans="1:10" x14ac:dyDescent="0.3">
      <c r="A3" s="3">
        <v>2</v>
      </c>
      <c r="B3" s="3" t="s">
        <v>10</v>
      </c>
      <c r="C3" s="3" t="s">
        <v>15</v>
      </c>
      <c r="D3" s="5">
        <v>45300</v>
      </c>
      <c r="E3" s="3">
        <v>17000</v>
      </c>
      <c r="F3" s="3">
        <v>19000</v>
      </c>
      <c r="G3" s="3">
        <v>26000</v>
      </c>
      <c r="H3" s="4">
        <f t="shared" ref="H3:H6" si="0">AVERAGE(E3,F3,G3)</f>
        <v>20666.666666666668</v>
      </c>
      <c r="I3" s="3">
        <f t="shared" ref="I3:I6" si="1">SUM(E3,F3,G3)</f>
        <v>62000</v>
      </c>
      <c r="J3" s="3" t="str">
        <f>CONCATENATE(B3," ",C3)</f>
        <v>Kshitij Gade</v>
      </c>
    </row>
    <row r="4" spans="1:10" x14ac:dyDescent="0.3">
      <c r="A4" s="3">
        <v>3</v>
      </c>
      <c r="B4" s="3" t="s">
        <v>11</v>
      </c>
      <c r="C4" s="3" t="s">
        <v>16</v>
      </c>
      <c r="D4" s="5">
        <v>45627</v>
      </c>
      <c r="E4" s="3">
        <v>16000</v>
      </c>
      <c r="F4" s="3">
        <v>20000</v>
      </c>
      <c r="G4" s="3">
        <v>22200</v>
      </c>
      <c r="H4" s="3">
        <f t="shared" si="0"/>
        <v>19400</v>
      </c>
      <c r="I4" s="3">
        <f t="shared" si="1"/>
        <v>58200</v>
      </c>
      <c r="J4" s="3" t="str">
        <f t="shared" ref="J4:J5" si="2">CONCATENATE(B4," ",C4)</f>
        <v>Kunal Sangle</v>
      </c>
    </row>
    <row r="5" spans="1:10" x14ac:dyDescent="0.3">
      <c r="A5" s="3">
        <v>4</v>
      </c>
      <c r="B5" s="3" t="s">
        <v>12</v>
      </c>
      <c r="C5" s="3" t="s">
        <v>17</v>
      </c>
      <c r="D5" s="3" t="s">
        <v>20</v>
      </c>
      <c r="E5" s="3">
        <v>15000</v>
      </c>
      <c r="F5" s="3">
        <v>16000</v>
      </c>
      <c r="G5" s="3">
        <v>20000</v>
      </c>
      <c r="H5" s="3">
        <f t="shared" si="0"/>
        <v>17000</v>
      </c>
      <c r="I5" s="3">
        <f t="shared" si="1"/>
        <v>51000</v>
      </c>
      <c r="J5" s="3" t="str">
        <f t="shared" si="2"/>
        <v>Prajwal Dighe</v>
      </c>
    </row>
    <row r="6" spans="1:10" x14ac:dyDescent="0.3">
      <c r="A6" s="3">
        <v>5</v>
      </c>
      <c r="B6" s="3" t="s">
        <v>13</v>
      </c>
      <c r="C6" s="3" t="s">
        <v>18</v>
      </c>
      <c r="D6" s="3" t="s">
        <v>19</v>
      </c>
      <c r="E6" s="3">
        <v>21000</v>
      </c>
      <c r="F6" s="3">
        <v>22000</v>
      </c>
      <c r="G6" s="3">
        <v>23000</v>
      </c>
      <c r="H6" s="3">
        <f t="shared" si="0"/>
        <v>22000</v>
      </c>
      <c r="I6" s="3">
        <f t="shared" si="1"/>
        <v>66000</v>
      </c>
      <c r="J6" s="3" t="str">
        <f>CONCATENATE(B6," ",C6)</f>
        <v>Shreyash Dhole</v>
      </c>
    </row>
    <row r="8" spans="1:10" x14ac:dyDescent="0.3">
      <c r="A8" t="s">
        <v>23</v>
      </c>
    </row>
    <row r="9" spans="1:10" x14ac:dyDescent="0.3">
      <c r="A9" t="s">
        <v>24</v>
      </c>
    </row>
    <row r="10" spans="1:10" x14ac:dyDescent="0.3">
      <c r="A10" t="s">
        <v>25</v>
      </c>
    </row>
    <row r="11" spans="1:10" x14ac:dyDescent="0.3">
      <c r="A11" t="s">
        <v>26</v>
      </c>
    </row>
    <row r="12" spans="1:10" x14ac:dyDescent="0.3">
      <c r="A12" t="s">
        <v>27</v>
      </c>
      <c r="G12" t="s">
        <v>22</v>
      </c>
    </row>
    <row r="13" spans="1:10" x14ac:dyDescent="0.3">
      <c r="A13" t="s">
        <v>28</v>
      </c>
    </row>
    <row r="14" spans="1:10" x14ac:dyDescent="0.3">
      <c r="A14" t="s">
        <v>29</v>
      </c>
    </row>
    <row r="15" spans="1:10" x14ac:dyDescent="0.3">
      <c r="A15" t="s">
        <v>30</v>
      </c>
    </row>
    <row r="17" spans="1:1" x14ac:dyDescent="0.3">
      <c r="A17" t="s">
        <v>31</v>
      </c>
    </row>
    <row r="18" spans="1:1" x14ac:dyDescent="0.3">
      <c r="A18" t="s">
        <v>32</v>
      </c>
    </row>
    <row r="19" spans="1:1" x14ac:dyDescent="0.3">
      <c r="A19" t="s">
        <v>33</v>
      </c>
    </row>
    <row r="20" spans="1:1" x14ac:dyDescent="0.3">
      <c r="A20"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F773-6B9E-41DF-8BBF-5E16F2DEDD4E}">
  <dimension ref="A1:J14"/>
  <sheetViews>
    <sheetView zoomScale="130" zoomScaleNormal="130" workbookViewId="0">
      <selection sqref="A1:J6"/>
    </sheetView>
  </sheetViews>
  <sheetFormatPr defaultRowHeight="14.4" x14ac:dyDescent="0.3"/>
  <cols>
    <col min="1" max="1" width="6.109375" bestFit="1" customWidth="1"/>
    <col min="3" max="3" width="9.109375" bestFit="1" customWidth="1"/>
    <col min="4" max="4" width="13.5546875" bestFit="1" customWidth="1"/>
    <col min="6" max="6" width="8.21875" bestFit="1" customWidth="1"/>
    <col min="7" max="7" width="8.33203125" bestFit="1" customWidth="1"/>
    <col min="8" max="8" width="8.21875" bestFit="1" customWidth="1"/>
    <col min="9" max="9" width="9.21875" bestFit="1" customWidth="1"/>
    <col min="10" max="10" width="13.5546875" bestFit="1" customWidth="1"/>
  </cols>
  <sheetData>
    <row r="1" spans="1:10" x14ac:dyDescent="0.3">
      <c r="A1" s="2" t="s">
        <v>0</v>
      </c>
      <c r="B1" s="2" t="s">
        <v>1</v>
      </c>
      <c r="C1" s="2" t="s">
        <v>2</v>
      </c>
      <c r="D1" s="2" t="s">
        <v>3</v>
      </c>
      <c r="E1" s="2" t="s">
        <v>4</v>
      </c>
      <c r="F1" s="2" t="s">
        <v>5</v>
      </c>
      <c r="G1" s="2" t="s">
        <v>6</v>
      </c>
      <c r="H1" s="2" t="s">
        <v>7</v>
      </c>
      <c r="I1" s="2" t="s">
        <v>8</v>
      </c>
      <c r="J1" s="2" t="s">
        <v>21</v>
      </c>
    </row>
    <row r="2" spans="1:10" x14ac:dyDescent="0.3">
      <c r="A2" s="6">
        <v>5</v>
      </c>
      <c r="B2" s="6" t="s">
        <v>13</v>
      </c>
      <c r="C2" s="6" t="s">
        <v>18</v>
      </c>
      <c r="D2" s="6" t="s">
        <v>19</v>
      </c>
      <c r="E2" s="6">
        <v>21000</v>
      </c>
      <c r="F2" s="6">
        <v>22000</v>
      </c>
      <c r="G2" s="6">
        <v>23000</v>
      </c>
      <c r="H2" s="6">
        <f>AVERAGE(E2,F2,G2)</f>
        <v>22000</v>
      </c>
      <c r="I2" s="6">
        <f>SUM(E2,F2,G2)</f>
        <v>66000</v>
      </c>
      <c r="J2" s="6" t="str">
        <f>CONCATENATE(B2," ",C2)</f>
        <v>Shreyash Dhole</v>
      </c>
    </row>
    <row r="3" spans="1:10" x14ac:dyDescent="0.3">
      <c r="A3" s="6">
        <v>1</v>
      </c>
      <c r="B3" s="6" t="s">
        <v>9</v>
      </c>
      <c r="C3" s="6" t="s">
        <v>14</v>
      </c>
      <c r="D3" s="7">
        <v>45329</v>
      </c>
      <c r="E3" s="6">
        <v>16000</v>
      </c>
      <c r="F3" s="6">
        <v>21000</v>
      </c>
      <c r="G3" s="6">
        <v>27000</v>
      </c>
      <c r="H3" s="8">
        <f>AVERAGE(E3,F3,G3)</f>
        <v>21333.333333333332</v>
      </c>
      <c r="I3" s="6">
        <f>SUM(E3,F3,G3)</f>
        <v>64000</v>
      </c>
      <c r="J3" s="6" t="str">
        <f>CONCATENATE(B3," ",C3)</f>
        <v>Atharv Penter</v>
      </c>
    </row>
    <row r="4" spans="1:10" x14ac:dyDescent="0.3">
      <c r="A4" s="6">
        <v>2</v>
      </c>
      <c r="B4" s="6" t="s">
        <v>10</v>
      </c>
      <c r="C4" s="6" t="s">
        <v>15</v>
      </c>
      <c r="D4" s="7">
        <v>45300</v>
      </c>
      <c r="E4" s="6">
        <v>17000</v>
      </c>
      <c r="F4" s="6">
        <v>19000</v>
      </c>
      <c r="G4" s="6">
        <v>26000</v>
      </c>
      <c r="H4" s="8">
        <f>AVERAGE(E4,F4,G4)</f>
        <v>20666.666666666668</v>
      </c>
      <c r="I4" s="6">
        <f>SUM(E4,F4,G4)</f>
        <v>62000</v>
      </c>
      <c r="J4" s="6" t="str">
        <f>CONCATENATE(B4," ",C4)</f>
        <v>Kshitij Gade</v>
      </c>
    </row>
    <row r="5" spans="1:10" x14ac:dyDescent="0.3">
      <c r="A5" s="6">
        <v>3</v>
      </c>
      <c r="B5" s="6" t="s">
        <v>11</v>
      </c>
      <c r="C5" s="6" t="s">
        <v>16</v>
      </c>
      <c r="D5" s="7">
        <v>45627</v>
      </c>
      <c r="E5" s="6">
        <v>16000</v>
      </c>
      <c r="F5" s="6">
        <v>20000</v>
      </c>
      <c r="G5" s="6">
        <v>22200</v>
      </c>
      <c r="H5" s="6">
        <f>AVERAGE(E5,F5,G5)</f>
        <v>19400</v>
      </c>
      <c r="I5" s="6">
        <f>SUM(E5,F5,G5)</f>
        <v>58200</v>
      </c>
      <c r="J5" s="6" t="str">
        <f>CONCATENATE(B5," ",C5)</f>
        <v>Kunal Sangle</v>
      </c>
    </row>
    <row r="6" spans="1:10" x14ac:dyDescent="0.3">
      <c r="A6" s="6">
        <v>4</v>
      </c>
      <c r="B6" s="6" t="s">
        <v>12</v>
      </c>
      <c r="C6" s="6" t="s">
        <v>17</v>
      </c>
      <c r="D6" s="6" t="s">
        <v>20</v>
      </c>
      <c r="E6" s="6">
        <v>15000</v>
      </c>
      <c r="F6" s="6">
        <v>16000</v>
      </c>
      <c r="G6" s="6">
        <v>20000</v>
      </c>
      <c r="H6" s="6">
        <f>AVERAGE(E6,F6,G6)</f>
        <v>17000</v>
      </c>
      <c r="I6" s="6">
        <f>SUM(E6,F6,G6)</f>
        <v>51000</v>
      </c>
      <c r="J6" s="6" t="str">
        <f>CONCATENATE(B6," ",C6)</f>
        <v>Prajwal Dighe</v>
      </c>
    </row>
    <row r="11" spans="1:10" x14ac:dyDescent="0.3">
      <c r="A11" t="s">
        <v>35</v>
      </c>
    </row>
    <row r="12" spans="1:10" x14ac:dyDescent="0.3">
      <c r="A12" t="s">
        <v>36</v>
      </c>
    </row>
    <row r="13" spans="1:10" x14ac:dyDescent="0.3">
      <c r="A13" t="s">
        <v>37</v>
      </c>
    </row>
    <row r="14" spans="1:10" x14ac:dyDescent="0.3">
      <c r="A14" t="s">
        <v>40</v>
      </c>
    </row>
  </sheetData>
  <autoFilter ref="A1:J1" xr:uid="{CC55F773-6B9E-41DF-8BBF-5E16F2DEDD4E}">
    <sortState xmlns:xlrd2="http://schemas.microsoft.com/office/spreadsheetml/2017/richdata2" ref="A2:J6">
      <sortCondition descending="1" ref="I1"/>
    </sortState>
  </autoFilter>
  <conditionalFormatting sqref="I2:I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E8C6-51FC-474C-9DA3-88F2BAF041EB}">
  <dimension ref="A1:J16"/>
  <sheetViews>
    <sheetView topLeftCell="A4" zoomScale="140" zoomScaleNormal="140" workbookViewId="0">
      <selection activeCell="A16" sqref="A16"/>
    </sheetView>
  </sheetViews>
  <sheetFormatPr defaultRowHeight="14.4" x14ac:dyDescent="0.3"/>
  <cols>
    <col min="1" max="1" width="6.109375" bestFit="1" customWidth="1"/>
    <col min="4" max="4" width="13.6640625" bestFit="1" customWidth="1"/>
    <col min="10" max="10" width="14.109375" bestFit="1" customWidth="1"/>
  </cols>
  <sheetData>
    <row r="1" spans="1:10" ht="15" thickBot="1" x14ac:dyDescent="0.35">
      <c r="A1" s="11" t="s">
        <v>42</v>
      </c>
      <c r="B1" s="12"/>
      <c r="C1" s="12"/>
      <c r="D1" s="12"/>
      <c r="E1" s="12"/>
      <c r="F1" s="12"/>
      <c r="G1" s="12"/>
      <c r="H1" s="12"/>
      <c r="I1" s="12"/>
      <c r="J1" s="13"/>
    </row>
    <row r="2" spans="1:10" x14ac:dyDescent="0.3">
      <c r="A2" s="9" t="s">
        <v>0</v>
      </c>
      <c r="B2" s="9" t="s">
        <v>1</v>
      </c>
      <c r="C2" s="9" t="s">
        <v>2</v>
      </c>
      <c r="D2" s="9" t="s">
        <v>3</v>
      </c>
      <c r="E2" s="9" t="s">
        <v>4</v>
      </c>
      <c r="F2" s="9" t="s">
        <v>5</v>
      </c>
      <c r="G2" s="9" t="s">
        <v>6</v>
      </c>
      <c r="H2" s="9" t="s">
        <v>7</v>
      </c>
      <c r="I2" s="9" t="s">
        <v>8</v>
      </c>
      <c r="J2" s="9" t="s">
        <v>21</v>
      </c>
    </row>
    <row r="3" spans="1:10" x14ac:dyDescent="0.3">
      <c r="A3" s="6">
        <v>1</v>
      </c>
      <c r="B3" s="6" t="s">
        <v>9</v>
      </c>
      <c r="C3" s="6" t="s">
        <v>14</v>
      </c>
      <c r="D3" s="7">
        <v>45329</v>
      </c>
      <c r="E3" s="6">
        <v>16000</v>
      </c>
      <c r="F3" s="6">
        <v>21000</v>
      </c>
      <c r="G3" s="6">
        <v>27000</v>
      </c>
      <c r="H3" s="8">
        <f>AVERAGE(E3,F3,G3)</f>
        <v>21333.333333333332</v>
      </c>
      <c r="I3" s="6">
        <f>SUM(E3,F3,G3)</f>
        <v>64000</v>
      </c>
      <c r="J3" s="6" t="str">
        <f>CONCATENATE(B3," ",C3)</f>
        <v>Atharv Penter</v>
      </c>
    </row>
    <row r="4" spans="1:10" x14ac:dyDescent="0.3">
      <c r="A4" s="6">
        <v>2</v>
      </c>
      <c r="B4" s="6" t="s">
        <v>10</v>
      </c>
      <c r="C4" s="6" t="s">
        <v>15</v>
      </c>
      <c r="D4" s="7">
        <v>45300</v>
      </c>
      <c r="E4" s="6">
        <v>17000</v>
      </c>
      <c r="F4" s="6">
        <v>19000</v>
      </c>
      <c r="G4" s="6">
        <v>26000</v>
      </c>
      <c r="H4" s="8">
        <f t="shared" ref="H4:H8" si="0">AVERAGE(E4,F4,G4)</f>
        <v>20666.666666666668</v>
      </c>
      <c r="I4" s="6">
        <f t="shared" ref="I4:I8" si="1">SUM(E4,F4,G4)</f>
        <v>62000</v>
      </c>
      <c r="J4" s="6" t="str">
        <f>CONCATENATE(B4," ",C4)</f>
        <v>Kshitij Gade</v>
      </c>
    </row>
    <row r="5" spans="1:10" x14ac:dyDescent="0.3">
      <c r="A5" s="6">
        <v>1</v>
      </c>
      <c r="B5" s="6" t="s">
        <v>9</v>
      </c>
      <c r="C5" s="6" t="s">
        <v>14</v>
      </c>
      <c r="D5" s="7">
        <v>45329</v>
      </c>
      <c r="E5" s="6">
        <v>16000</v>
      </c>
      <c r="F5" s="6">
        <v>21000</v>
      </c>
      <c r="G5" s="6">
        <v>27000</v>
      </c>
      <c r="H5" s="8">
        <f>AVERAGE(E5,F5,G5)</f>
        <v>21333.333333333332</v>
      </c>
      <c r="I5" s="6">
        <f>SUM(E5,F5,G5)</f>
        <v>64000</v>
      </c>
      <c r="J5" s="6" t="str">
        <f>CONCATENATE(B5," ",C5)</f>
        <v>Atharv Penter</v>
      </c>
    </row>
    <row r="6" spans="1:10" x14ac:dyDescent="0.3">
      <c r="A6" s="6">
        <v>3</v>
      </c>
      <c r="B6" s="6" t="s">
        <v>11</v>
      </c>
      <c r="C6" s="6" t="s">
        <v>16</v>
      </c>
      <c r="D6" s="7">
        <v>45627</v>
      </c>
      <c r="E6" s="6">
        <v>16000</v>
      </c>
      <c r="F6" s="6">
        <v>20000</v>
      </c>
      <c r="G6" s="6">
        <v>22200</v>
      </c>
      <c r="H6" s="6">
        <f t="shared" si="0"/>
        <v>19400</v>
      </c>
      <c r="I6" s="6">
        <f t="shared" si="1"/>
        <v>58200</v>
      </c>
      <c r="J6" s="6" t="str">
        <f t="shared" ref="J6:J7" si="2">CONCATENATE(B6," ",C6)</f>
        <v>Kunal Sangle</v>
      </c>
    </row>
    <row r="7" spans="1:10" x14ac:dyDescent="0.3">
      <c r="A7" s="6">
        <v>4</v>
      </c>
      <c r="B7" s="6" t="s">
        <v>12</v>
      </c>
      <c r="C7" s="6" t="s">
        <v>17</v>
      </c>
      <c r="D7" s="6" t="s">
        <v>20</v>
      </c>
      <c r="E7" s="6">
        <v>15000</v>
      </c>
      <c r="F7" s="6">
        <v>16000</v>
      </c>
      <c r="G7" s="6">
        <v>20000</v>
      </c>
      <c r="H7" s="6">
        <f t="shared" si="0"/>
        <v>17000</v>
      </c>
      <c r="I7" s="6">
        <f t="shared" si="1"/>
        <v>51000</v>
      </c>
      <c r="J7" s="6" t="str">
        <f t="shared" si="2"/>
        <v>Prajwal Dighe</v>
      </c>
    </row>
    <row r="8" spans="1:10" x14ac:dyDescent="0.3">
      <c r="A8" s="6">
        <v>5</v>
      </c>
      <c r="B8" s="6" t="s">
        <v>13</v>
      </c>
      <c r="C8" s="6" t="s">
        <v>18</v>
      </c>
      <c r="D8" s="6" t="s">
        <v>19</v>
      </c>
      <c r="E8" s="6">
        <v>21000</v>
      </c>
      <c r="F8" s="6">
        <v>22000</v>
      </c>
      <c r="G8" s="6">
        <v>23000</v>
      </c>
      <c r="H8" s="6">
        <f t="shared" si="0"/>
        <v>22000</v>
      </c>
      <c r="I8" s="6">
        <f t="shared" si="1"/>
        <v>66000</v>
      </c>
      <c r="J8" s="6" t="str">
        <f>CONCATENATE(B8," ",C8)</f>
        <v>Shreyash Dhole</v>
      </c>
    </row>
    <row r="11" spans="1:10" x14ac:dyDescent="0.3">
      <c r="A11" t="s">
        <v>38</v>
      </c>
    </row>
    <row r="12" spans="1:10" x14ac:dyDescent="0.3">
      <c r="A12" t="s">
        <v>39</v>
      </c>
    </row>
    <row r="13" spans="1:10" x14ac:dyDescent="0.3">
      <c r="A13" t="s">
        <v>41</v>
      </c>
    </row>
    <row r="14" spans="1:10" x14ac:dyDescent="0.3">
      <c r="A14" t="s">
        <v>43</v>
      </c>
    </row>
    <row r="16" spans="1:10" ht="100.8" x14ac:dyDescent="0.3">
      <c r="A16" s="10" t="s">
        <v>44</v>
      </c>
    </row>
  </sheetData>
  <mergeCells count="1">
    <mergeCell ref="A1:J1"/>
  </mergeCells>
  <conditionalFormatting sqref="A2:J8">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2CE0-C857-4615-8EA1-A27F1A6D5057}">
  <dimension ref="A1:J17"/>
  <sheetViews>
    <sheetView zoomScale="120" zoomScaleNormal="120" workbookViewId="0">
      <selection activeCell="A18" sqref="A18"/>
    </sheetView>
  </sheetViews>
  <sheetFormatPr defaultRowHeight="14.4" x14ac:dyDescent="0.3"/>
  <cols>
    <col min="1" max="1" width="7.5546875" customWidth="1"/>
    <col min="2" max="2" width="10.88671875" customWidth="1"/>
    <col min="3" max="3" width="10.6640625" customWidth="1"/>
    <col min="4" max="4" width="15" customWidth="1"/>
    <col min="5" max="5" width="10.33203125" customWidth="1"/>
    <col min="6" max="6" width="9.5546875" customWidth="1"/>
    <col min="7" max="7" width="9.6640625" customWidth="1"/>
    <col min="8" max="8" width="9.44140625" customWidth="1"/>
    <col min="9" max="9" width="10.77734375" customWidth="1"/>
    <col min="10" max="10" width="13.5546875" bestFit="1" customWidth="1"/>
  </cols>
  <sheetData>
    <row r="1" spans="1:10" x14ac:dyDescent="0.3">
      <c r="A1" s="16" t="s">
        <v>0</v>
      </c>
      <c r="B1" s="9" t="s">
        <v>1</v>
      </c>
      <c r="C1" s="9" t="s">
        <v>2</v>
      </c>
      <c r="D1" s="9" t="s">
        <v>3</v>
      </c>
      <c r="E1" s="9" t="s">
        <v>4</v>
      </c>
      <c r="F1" s="9" t="s">
        <v>5</v>
      </c>
      <c r="G1" s="9" t="s">
        <v>6</v>
      </c>
      <c r="H1" s="9" t="s">
        <v>7</v>
      </c>
      <c r="I1" s="9" t="s">
        <v>8</v>
      </c>
      <c r="J1" s="17" t="s">
        <v>21</v>
      </c>
    </row>
    <row r="2" spans="1:10" x14ac:dyDescent="0.3">
      <c r="A2" s="14">
        <v>5</v>
      </c>
      <c r="B2" s="6" t="s">
        <v>13</v>
      </c>
      <c r="C2" s="6" t="s">
        <v>18</v>
      </c>
      <c r="D2" s="6" t="s">
        <v>19</v>
      </c>
      <c r="E2" s="6">
        <v>21000</v>
      </c>
      <c r="F2" s="6">
        <v>22000</v>
      </c>
      <c r="G2" s="6">
        <v>23000</v>
      </c>
      <c r="H2" s="6">
        <f>AVERAGE(E2,F2,G2)</f>
        <v>22000</v>
      </c>
      <c r="I2" s="6">
        <f>SUM(E2,F2,G2)</f>
        <v>66000</v>
      </c>
      <c r="J2" s="15" t="str">
        <f>CONCATENATE(B2," ",C2)</f>
        <v>Shreyash Dhole</v>
      </c>
    </row>
    <row r="3" spans="1:10" x14ac:dyDescent="0.3">
      <c r="A3" s="14">
        <v>1</v>
      </c>
      <c r="B3" s="6" t="s">
        <v>9</v>
      </c>
      <c r="C3" s="6" t="s">
        <v>14</v>
      </c>
      <c r="D3" s="7">
        <v>45329</v>
      </c>
      <c r="E3" s="6">
        <v>16000</v>
      </c>
      <c r="F3" s="6">
        <v>21000</v>
      </c>
      <c r="G3" s="6">
        <v>27000</v>
      </c>
      <c r="H3" s="8">
        <f>AVERAGE(E3,F3,G3)</f>
        <v>21333.333333333332</v>
      </c>
      <c r="I3" s="6">
        <f>SUM(E3,F3,G3)</f>
        <v>64000</v>
      </c>
      <c r="J3" s="15" t="str">
        <f>CONCATENATE(B3," ",C3)</f>
        <v>Atharv Penter</v>
      </c>
    </row>
    <row r="4" spans="1:10" x14ac:dyDescent="0.3">
      <c r="A4" s="14">
        <v>2</v>
      </c>
      <c r="B4" s="6" t="s">
        <v>10</v>
      </c>
      <c r="C4" s="6" t="s">
        <v>15</v>
      </c>
      <c r="D4" s="7">
        <v>45300</v>
      </c>
      <c r="E4" s="6">
        <v>17000</v>
      </c>
      <c r="F4" s="6">
        <v>19000</v>
      </c>
      <c r="G4" s="6">
        <v>26000</v>
      </c>
      <c r="H4" s="8">
        <f>AVERAGE(E4,F4,G4)</f>
        <v>20666.666666666668</v>
      </c>
      <c r="I4" s="6">
        <f>SUM(E4,F4,G4)</f>
        <v>62000</v>
      </c>
      <c r="J4" s="15" t="str">
        <f>CONCATENATE(B4," ",C4)</f>
        <v>Kshitij Gade</v>
      </c>
    </row>
    <row r="5" spans="1:10" x14ac:dyDescent="0.3">
      <c r="A5" s="14">
        <v>3</v>
      </c>
      <c r="B5" s="6" t="s">
        <v>11</v>
      </c>
      <c r="C5" s="6" t="s">
        <v>16</v>
      </c>
      <c r="D5" s="7">
        <v>45627</v>
      </c>
      <c r="E5" s="6">
        <v>16000</v>
      </c>
      <c r="F5" s="6">
        <v>20000</v>
      </c>
      <c r="G5" s="6">
        <v>22200</v>
      </c>
      <c r="H5" s="6">
        <f>AVERAGE(E5,F5,G5)</f>
        <v>19400</v>
      </c>
      <c r="I5" s="6">
        <f>SUM(E5,F5,G5)</f>
        <v>58200</v>
      </c>
      <c r="J5" s="15" t="str">
        <f>CONCATENATE(B5," ",C5)</f>
        <v>Kunal Sangle</v>
      </c>
    </row>
    <row r="6" spans="1:10" x14ac:dyDescent="0.3">
      <c r="A6" s="18">
        <v>4</v>
      </c>
      <c r="B6" s="19" t="s">
        <v>12</v>
      </c>
      <c r="C6" s="19" t="s">
        <v>17</v>
      </c>
      <c r="D6" s="19" t="s">
        <v>20</v>
      </c>
      <c r="E6" s="19">
        <v>15000</v>
      </c>
      <c r="F6" s="19">
        <v>16000</v>
      </c>
      <c r="G6" s="19">
        <v>20000</v>
      </c>
      <c r="H6" s="19">
        <f>AVERAGE(E6,F6,G6)</f>
        <v>17000</v>
      </c>
      <c r="I6" s="19">
        <f>SUM(E6,F6,G6)</f>
        <v>51000</v>
      </c>
      <c r="J6" s="20" t="str">
        <f>CONCATENATE(B6," ",C6)</f>
        <v>Prajwal Dighe</v>
      </c>
    </row>
    <row r="15" spans="1:10" x14ac:dyDescent="0.3">
      <c r="A15" t="s">
        <v>45</v>
      </c>
    </row>
    <row r="16" spans="1:10" x14ac:dyDescent="0.3">
      <c r="A16" t="s">
        <v>46</v>
      </c>
    </row>
    <row r="17" spans="1:1" x14ac:dyDescent="0.3">
      <c r="A17" s="21" t="s">
        <v>47</v>
      </c>
    </row>
  </sheetData>
  <conditionalFormatting sqref="I2:I6">
    <cfRule type="colorScale" priority="1">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04710-81AA-453A-A198-879C0E371992}">
  <dimension ref="A1:M12"/>
  <sheetViews>
    <sheetView zoomScale="130" zoomScaleNormal="130" workbookViewId="0">
      <selection activeCell="K11" sqref="K11"/>
    </sheetView>
  </sheetViews>
  <sheetFormatPr defaultRowHeight="14.4" x14ac:dyDescent="0.3"/>
  <cols>
    <col min="1" max="1" width="6.109375" bestFit="1" customWidth="1"/>
    <col min="2" max="2" width="9.44140625" bestFit="1" customWidth="1"/>
    <col min="3" max="3" width="9.109375" bestFit="1" customWidth="1"/>
    <col min="4" max="4" width="13.5546875" bestFit="1" customWidth="1"/>
    <col min="10" max="10" width="14" bestFit="1" customWidth="1"/>
    <col min="12" max="12" width="16.88671875" customWidth="1"/>
    <col min="13" max="13" width="10.21875" customWidth="1"/>
  </cols>
  <sheetData>
    <row r="1" spans="1:13" x14ac:dyDescent="0.3">
      <c r="A1" s="2" t="s">
        <v>0</v>
      </c>
      <c r="B1" s="2" t="s">
        <v>1</v>
      </c>
      <c r="C1" s="2" t="s">
        <v>2</v>
      </c>
      <c r="D1" s="2" t="s">
        <v>3</v>
      </c>
      <c r="E1" s="2" t="s">
        <v>4</v>
      </c>
      <c r="F1" s="2" t="s">
        <v>5</v>
      </c>
      <c r="G1" s="2" t="s">
        <v>6</v>
      </c>
      <c r="H1" s="2" t="s">
        <v>7</v>
      </c>
      <c r="I1" s="2" t="s">
        <v>8</v>
      </c>
      <c r="J1" s="2" t="s">
        <v>21</v>
      </c>
      <c r="L1" s="2" t="s">
        <v>1</v>
      </c>
      <c r="M1" s="2" t="s">
        <v>8</v>
      </c>
    </row>
    <row r="2" spans="1:13" x14ac:dyDescent="0.3">
      <c r="A2" s="3">
        <v>1</v>
      </c>
      <c r="B2" s="3" t="s">
        <v>9</v>
      </c>
      <c r="C2" s="3" t="s">
        <v>14</v>
      </c>
      <c r="D2" s="5">
        <v>45329</v>
      </c>
      <c r="E2" s="3">
        <v>16000</v>
      </c>
      <c r="F2" s="3">
        <v>21000</v>
      </c>
      <c r="G2" s="3">
        <v>27000</v>
      </c>
      <c r="H2" s="4">
        <f>AVERAGE(E2,F2,G2)</f>
        <v>21333.333333333332</v>
      </c>
      <c r="I2" s="3">
        <f>SUM(E2,F2,G2)</f>
        <v>64000</v>
      </c>
      <c r="J2" s="3" t="str">
        <f>CONCATENATE(B2," ",C2)</f>
        <v>Atharv Penter</v>
      </c>
      <c r="L2" s="22" t="s">
        <v>9</v>
      </c>
      <c r="M2" s="3"/>
    </row>
    <row r="3" spans="1:13" x14ac:dyDescent="0.3">
      <c r="A3" s="3">
        <v>2</v>
      </c>
      <c r="B3" s="3" t="s">
        <v>10</v>
      </c>
      <c r="C3" s="3" t="s">
        <v>15</v>
      </c>
      <c r="D3" s="5">
        <v>45300</v>
      </c>
      <c r="E3" s="3">
        <v>17000</v>
      </c>
      <c r="F3" s="3">
        <v>19000</v>
      </c>
      <c r="G3" s="3">
        <v>26000</v>
      </c>
      <c r="H3" s="4">
        <f t="shared" ref="H3:H6" si="0">AVERAGE(E3,F3,G3)</f>
        <v>20666.666666666668</v>
      </c>
      <c r="I3" s="3">
        <f t="shared" ref="I3:I6" si="1">SUM(E3,F3,G3)</f>
        <v>62000</v>
      </c>
      <c r="J3" s="3" t="str">
        <f>CONCATENATE(B3," ",C3)</f>
        <v>Kshitij Gade</v>
      </c>
      <c r="L3" s="22" t="s">
        <v>10</v>
      </c>
      <c r="M3" s="3"/>
    </row>
    <row r="4" spans="1:13" x14ac:dyDescent="0.3">
      <c r="A4" s="3">
        <v>3</v>
      </c>
      <c r="B4" s="3" t="s">
        <v>11</v>
      </c>
      <c r="C4" s="3" t="s">
        <v>16</v>
      </c>
      <c r="D4" s="5">
        <v>45627</v>
      </c>
      <c r="E4" s="3">
        <v>16000</v>
      </c>
      <c r="F4" s="3">
        <v>20000</v>
      </c>
      <c r="G4" s="3">
        <v>22200</v>
      </c>
      <c r="H4" s="3">
        <f t="shared" si="0"/>
        <v>19400</v>
      </c>
      <c r="I4" s="3">
        <f t="shared" si="1"/>
        <v>58200</v>
      </c>
      <c r="J4" s="3" t="str">
        <f t="shared" ref="J4:J5" si="2">CONCATENATE(B4," ",C4)</f>
        <v>Kunal Sangle</v>
      </c>
      <c r="L4" s="22" t="s">
        <v>11</v>
      </c>
      <c r="M4" s="3" t="e">
        <f>VLOOKUP(L4,$A$1:$J$6,9,0)</f>
        <v>#N/A</v>
      </c>
    </row>
    <row r="5" spans="1:13" x14ac:dyDescent="0.3">
      <c r="A5" s="3">
        <v>4</v>
      </c>
      <c r="B5" s="3" t="s">
        <v>12</v>
      </c>
      <c r="C5" s="3" t="s">
        <v>17</v>
      </c>
      <c r="D5" s="3" t="s">
        <v>20</v>
      </c>
      <c r="E5" s="3">
        <v>15000</v>
      </c>
      <c r="F5" s="3">
        <v>16000</v>
      </c>
      <c r="G5" s="3">
        <v>20000</v>
      </c>
      <c r="H5" s="3">
        <f t="shared" si="0"/>
        <v>17000</v>
      </c>
      <c r="I5" s="3">
        <f t="shared" si="1"/>
        <v>51000</v>
      </c>
      <c r="J5" s="3" t="str">
        <f t="shared" si="2"/>
        <v>Prajwal Dighe</v>
      </c>
      <c r="L5" s="22" t="s">
        <v>12</v>
      </c>
      <c r="M5" s="3" t="e">
        <f>VLOOKUP(L5,$A$1:$J$6,9,0)</f>
        <v>#N/A</v>
      </c>
    </row>
    <row r="6" spans="1:13" x14ac:dyDescent="0.3">
      <c r="A6" s="3">
        <v>5</v>
      </c>
      <c r="B6" s="3" t="s">
        <v>13</v>
      </c>
      <c r="C6" s="3" t="s">
        <v>18</v>
      </c>
      <c r="D6" s="3" t="s">
        <v>19</v>
      </c>
      <c r="E6" s="3">
        <v>21000</v>
      </c>
      <c r="F6" s="3">
        <v>22000</v>
      </c>
      <c r="G6" s="3">
        <v>23000</v>
      </c>
      <c r="H6" s="3">
        <f t="shared" si="0"/>
        <v>22000</v>
      </c>
      <c r="I6" s="3">
        <f t="shared" si="1"/>
        <v>66000</v>
      </c>
      <c r="J6" s="3" t="str">
        <f>CONCATENATE(B6," ",C6)</f>
        <v>Shreyash Dhole</v>
      </c>
      <c r="L6" s="22" t="s">
        <v>13</v>
      </c>
      <c r="M6" s="3"/>
    </row>
    <row r="11" spans="1:13" x14ac:dyDescent="0.3">
      <c r="A11" t="s">
        <v>49</v>
      </c>
      <c r="K11" s="23" t="s">
        <v>50</v>
      </c>
    </row>
    <row r="12" spans="1:13" x14ac:dyDescent="0.3">
      <c r="A12"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32B3-B820-4382-A04B-682591DA5652}">
  <dimension ref="A1:J19"/>
  <sheetViews>
    <sheetView tabSelected="1" zoomScale="130" zoomScaleNormal="130" workbookViewId="0">
      <selection activeCell="C9" sqref="C9"/>
    </sheetView>
  </sheetViews>
  <sheetFormatPr defaultRowHeight="14.4" x14ac:dyDescent="0.3"/>
  <cols>
    <col min="1" max="1" width="14" bestFit="1" customWidth="1"/>
    <col min="2" max="2" width="14.77734375" bestFit="1" customWidth="1"/>
    <col min="3" max="3" width="15.6640625" bestFit="1" customWidth="1"/>
    <col min="4" max="4" width="13.5546875" bestFit="1" customWidth="1"/>
    <col min="6" max="6" width="8.21875" bestFit="1" customWidth="1"/>
    <col min="7" max="7" width="8.33203125" bestFit="1" customWidth="1"/>
    <col min="8" max="8" width="8.21875" bestFit="1" customWidth="1"/>
    <col min="9" max="9" width="9.21875" bestFit="1" customWidth="1"/>
    <col min="10" max="10" width="14" bestFit="1" customWidth="1"/>
  </cols>
  <sheetData>
    <row r="1" spans="1:10" x14ac:dyDescent="0.3">
      <c r="A1" s="2" t="s">
        <v>0</v>
      </c>
      <c r="B1" s="2" t="s">
        <v>1</v>
      </c>
      <c r="C1" s="2" t="s">
        <v>2</v>
      </c>
      <c r="D1" s="2" t="s">
        <v>3</v>
      </c>
      <c r="E1" s="2" t="s">
        <v>4</v>
      </c>
      <c r="F1" s="2" t="s">
        <v>5</v>
      </c>
      <c r="G1" s="2" t="s">
        <v>6</v>
      </c>
      <c r="H1" s="2" t="s">
        <v>7</v>
      </c>
      <c r="I1" s="2" t="s">
        <v>8</v>
      </c>
      <c r="J1" s="2" t="s">
        <v>21</v>
      </c>
    </row>
    <row r="2" spans="1:10" x14ac:dyDescent="0.3">
      <c r="A2" s="3">
        <v>1</v>
      </c>
      <c r="B2" s="3" t="s">
        <v>9</v>
      </c>
      <c r="C2" s="3" t="s">
        <v>14</v>
      </c>
      <c r="D2" s="5">
        <v>45329</v>
      </c>
      <c r="E2" s="3">
        <v>16000</v>
      </c>
      <c r="F2" s="3">
        <v>21000</v>
      </c>
      <c r="G2" s="3">
        <v>27000</v>
      </c>
      <c r="H2" s="4">
        <f>AVERAGE(E2,F2,G2)</f>
        <v>21333.333333333332</v>
      </c>
      <c r="I2" s="3">
        <f>SUM(E2,F2,G2)</f>
        <v>64000</v>
      </c>
      <c r="J2" s="3" t="str">
        <f>CONCATENATE(B2," ",C2)</f>
        <v>Atharv Penter</v>
      </c>
    </row>
    <row r="3" spans="1:10" x14ac:dyDescent="0.3">
      <c r="A3" s="3">
        <v>2</v>
      </c>
      <c r="B3" s="3" t="s">
        <v>10</v>
      </c>
      <c r="C3" s="3" t="s">
        <v>15</v>
      </c>
      <c r="D3" s="5">
        <v>45300</v>
      </c>
      <c r="E3" s="3">
        <v>17000</v>
      </c>
      <c r="F3" s="3">
        <v>19000</v>
      </c>
      <c r="G3" s="3">
        <v>26000</v>
      </c>
      <c r="H3" s="4">
        <f t="shared" ref="H3:H6" si="0">AVERAGE(E3,F3,G3)</f>
        <v>20666.666666666668</v>
      </c>
      <c r="I3" s="3">
        <f t="shared" ref="I3:I6" si="1">SUM(E3,F3,G3)</f>
        <v>62000</v>
      </c>
      <c r="J3" s="3" t="str">
        <f>CONCATENATE(B3," ",C3)</f>
        <v>Kshitij Gade</v>
      </c>
    </row>
    <row r="4" spans="1:10" x14ac:dyDescent="0.3">
      <c r="A4" s="3">
        <v>3</v>
      </c>
      <c r="B4" s="3" t="s">
        <v>11</v>
      </c>
      <c r="C4" s="3" t="s">
        <v>16</v>
      </c>
      <c r="D4" s="5">
        <v>45627</v>
      </c>
      <c r="E4" s="3">
        <v>16000</v>
      </c>
      <c r="F4" s="3">
        <v>20000</v>
      </c>
      <c r="G4" s="3">
        <v>22200</v>
      </c>
      <c r="H4" s="3">
        <f t="shared" si="0"/>
        <v>19400</v>
      </c>
      <c r="I4" s="3">
        <f t="shared" si="1"/>
        <v>58200</v>
      </c>
      <c r="J4" s="3" t="str">
        <f t="shared" ref="J4:J5" si="2">CONCATENATE(B4," ",C4)</f>
        <v>Kunal Sangle</v>
      </c>
    </row>
    <row r="5" spans="1:10" x14ac:dyDescent="0.3">
      <c r="A5" s="3">
        <v>4</v>
      </c>
      <c r="B5" s="3" t="s">
        <v>12</v>
      </c>
      <c r="C5" s="3" t="s">
        <v>17</v>
      </c>
      <c r="D5" s="3" t="s">
        <v>20</v>
      </c>
      <c r="E5" s="3">
        <v>15000</v>
      </c>
      <c r="F5" s="3">
        <v>16000</v>
      </c>
      <c r="G5" s="3">
        <v>20000</v>
      </c>
      <c r="H5" s="3">
        <f t="shared" si="0"/>
        <v>17000</v>
      </c>
      <c r="I5" s="3">
        <f t="shared" si="1"/>
        <v>51000</v>
      </c>
      <c r="J5" s="3" t="str">
        <f t="shared" si="2"/>
        <v>Prajwal Dighe</v>
      </c>
    </row>
    <row r="6" spans="1:10" x14ac:dyDescent="0.3">
      <c r="A6" s="3">
        <v>5</v>
      </c>
      <c r="B6" s="3" t="s">
        <v>13</v>
      </c>
      <c r="C6" s="3" t="s">
        <v>18</v>
      </c>
      <c r="D6" s="3" t="s">
        <v>19</v>
      </c>
      <c r="E6" s="3">
        <v>21000</v>
      </c>
      <c r="F6" s="3">
        <v>22000</v>
      </c>
      <c r="G6" s="3">
        <v>23000</v>
      </c>
      <c r="H6" s="3">
        <f t="shared" si="0"/>
        <v>22000</v>
      </c>
      <c r="I6" s="3">
        <f t="shared" si="1"/>
        <v>66000</v>
      </c>
      <c r="J6" s="3" t="str">
        <f>CONCATENATE(B6," ",C6)</f>
        <v>Shreyash Dhole</v>
      </c>
    </row>
    <row r="8" spans="1:10" x14ac:dyDescent="0.3">
      <c r="A8" t="s">
        <v>59</v>
      </c>
    </row>
    <row r="9" spans="1:10" x14ac:dyDescent="0.3">
      <c r="A9" s="24" t="s">
        <v>51</v>
      </c>
      <c r="B9" t="s">
        <v>58</v>
      </c>
      <c r="C9" t="s">
        <v>62</v>
      </c>
    </row>
    <row r="10" spans="1:10" x14ac:dyDescent="0.3">
      <c r="A10" s="25" t="s">
        <v>53</v>
      </c>
      <c r="B10" s="26">
        <v>21333.333333333332</v>
      </c>
      <c r="C10" s="26">
        <v>64000</v>
      </c>
    </row>
    <row r="11" spans="1:10" x14ac:dyDescent="0.3">
      <c r="A11" s="25" t="s">
        <v>54</v>
      </c>
      <c r="B11" s="26">
        <v>20666.666666666668</v>
      </c>
      <c r="C11" s="26">
        <v>62000</v>
      </c>
    </row>
    <row r="12" spans="1:10" x14ac:dyDescent="0.3">
      <c r="A12" s="25" t="s">
        <v>55</v>
      </c>
      <c r="B12" s="26">
        <v>19400</v>
      </c>
      <c r="C12" s="26">
        <v>58200</v>
      </c>
    </row>
    <row r="13" spans="1:10" x14ac:dyDescent="0.3">
      <c r="A13" s="25" t="s">
        <v>56</v>
      </c>
      <c r="B13" s="26">
        <v>17000</v>
      </c>
      <c r="C13" s="26">
        <v>51000</v>
      </c>
    </row>
    <row r="14" spans="1:10" x14ac:dyDescent="0.3">
      <c r="A14" s="25" t="s">
        <v>57</v>
      </c>
      <c r="B14" s="26">
        <v>22000</v>
      </c>
      <c r="C14" s="26">
        <v>66000</v>
      </c>
    </row>
    <row r="15" spans="1:10" x14ac:dyDescent="0.3">
      <c r="A15" s="25" t="s">
        <v>52</v>
      </c>
      <c r="B15" s="26">
        <v>100400</v>
      </c>
      <c r="C15" s="26">
        <v>66000</v>
      </c>
    </row>
    <row r="18" spans="1:1" x14ac:dyDescent="0.3">
      <c r="A18" s="25" t="s">
        <v>60</v>
      </c>
    </row>
    <row r="19" spans="1:1" x14ac:dyDescent="0.3">
      <c r="A19" s="25"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E9EDDD-1EC7-40A3-8370-D5293829EA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Day1(Basic)</vt:lpstr>
      <vt:lpstr>Day2(Filter&amp;Sort)</vt:lpstr>
      <vt:lpstr>Day3(duplicates,merge,wrap)</vt:lpstr>
      <vt:lpstr>Day4(Comment,Slicers,Table)</vt:lpstr>
      <vt:lpstr>Day5(VLookUp)</vt:lpstr>
      <vt:lpstr>Day6(Pivot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minskole opc</dc:creator>
  <cp:lastModifiedBy>minskole opc</cp:lastModifiedBy>
  <dcterms:created xsi:type="dcterms:W3CDTF">2025-09-11T07:51:54Z</dcterms:created>
  <dcterms:modified xsi:type="dcterms:W3CDTF">2025-09-17T07:55:41Z</dcterms:modified>
</cp:coreProperties>
</file>