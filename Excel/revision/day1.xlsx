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nmay Deshpande\Desktop\Atharv Penter\Excel\"/>
    </mc:Choice>
  </mc:AlternateContent>
  <xr:revisionPtr revIDLastSave="0" documentId="8_{6B6ABC39-C33B-4F0A-A74B-D183EFE712EC}" xr6:coauthVersionLast="47" xr6:coauthVersionMax="47" xr10:uidLastSave="{00000000-0000-0000-0000-000000000000}"/>
  <bookViews>
    <workbookView xWindow="-108" yWindow="-108" windowWidth="23256" windowHeight="12456" activeTab="1" xr2:uid="{39CBD00D-F7BB-4CC4-A946-410FE3455AE1}"/>
  </bookViews>
  <sheets>
    <sheet name="Sheet2" sheetId="2" r:id="rId1"/>
    <sheet name="Sheet1" sheetId="1" r:id="rId2"/>
  </sheets>
  <definedNames>
    <definedName name="_xlnm._FilterDatabase" localSheetId="1" hidden="1">Sheet1!$A$1:$G$1</definedName>
  </definedName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" i="1" l="1"/>
  <c r="J3" i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<sst xmlns="http://schemas.openxmlformats.org/spreadsheetml/2006/main" count="60" uniqueCount="39">
  <si>
    <t>firstname</t>
  </si>
  <si>
    <t>middlename</t>
  </si>
  <si>
    <t>lastname</t>
  </si>
  <si>
    <t>sal- july</t>
  </si>
  <si>
    <t>sal-aug</t>
  </si>
  <si>
    <t>total sal</t>
  </si>
  <si>
    <t>atharv</t>
  </si>
  <si>
    <t>atharva</t>
  </si>
  <si>
    <t>kunal</t>
  </si>
  <si>
    <t>akhil</t>
  </si>
  <si>
    <t>kshitij</t>
  </si>
  <si>
    <t>tanish</t>
  </si>
  <si>
    <t>tanmay</t>
  </si>
  <si>
    <t>prathamesh</t>
  </si>
  <si>
    <t>yash</t>
  </si>
  <si>
    <t>abhi</t>
  </si>
  <si>
    <t>avinash</t>
  </si>
  <si>
    <t>ravi</t>
  </si>
  <si>
    <t>anil</t>
  </si>
  <si>
    <t>ashok</t>
  </si>
  <si>
    <t>hari</t>
  </si>
  <si>
    <t>madhav</t>
  </si>
  <si>
    <t>mayur</t>
  </si>
  <si>
    <t>sudam</t>
  </si>
  <si>
    <t>penter</t>
  </si>
  <si>
    <t>kandekar</t>
  </si>
  <si>
    <t>sangle</t>
  </si>
  <si>
    <t>berad</t>
  </si>
  <si>
    <t>gade</t>
  </si>
  <si>
    <t>gaikwad</t>
  </si>
  <si>
    <t>gujar</t>
  </si>
  <si>
    <t>fullname</t>
  </si>
  <si>
    <t>Row Labels</t>
  </si>
  <si>
    <t>(blank)</t>
  </si>
  <si>
    <t>Grand Total</t>
  </si>
  <si>
    <t>Sum of sal- july</t>
  </si>
  <si>
    <t>Sum of sal-aug</t>
  </si>
  <si>
    <t>VLOOK UP</t>
  </si>
  <si>
    <t>HLOOK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</si>
</sst>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[day1.xlsx]Sheet2!PivotTable1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sal- july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Sheet2!$A$4:$A$15</c:f>
              <c:strCache>
                <c:ptCount val="11"/>
                <c:pt idx="0">
                  <c:v>abhi</c:v>
                </c:pt>
                <c:pt idx="1">
                  <c:v>akhil</c:v>
                </c:pt>
                <c:pt idx="2">
                  <c:v>atharv</c:v>
                </c:pt>
                <c:pt idx="3">
                  <c:v>atharva</c:v>
                </c:pt>
                <c:pt idx="4">
                  <c:v>kshitij</c:v>
                </c:pt>
                <c:pt idx="5">
                  <c:v>kunal</c:v>
                </c:pt>
                <c:pt idx="6">
                  <c:v>prathamesh</c:v>
                </c:pt>
                <c:pt idx="7">
                  <c:v>tanish</c:v>
                </c:pt>
                <c:pt idx="8">
                  <c:v>tanmay</c:v>
                </c:pt>
                <c:pt idx="9">
                  <c:v>yash</c:v>
                </c:pt>
                <c:pt idx="10">
                  <c:v>(blank)</c:v>
                </c:pt>
              </c:strCache>
            </c:strRef>
          </c:cat>
          <c:val>
            <c:numRef>
              <c:f>Sheet2!$B$4:$B$15</c:f>
              <c:numCache>
                <c:formatCode>General</c:formatCode>
                <c:ptCount val="11"/>
                <c:pt idx="0">
                  <c:v>984</c:v>
                </c:pt>
                <c:pt idx="1">
                  <c:v>569</c:v>
                </c:pt>
                <c:pt idx="2">
                  <c:v>200</c:v>
                </c:pt>
                <c:pt idx="3">
                  <c:v>450</c:v>
                </c:pt>
                <c:pt idx="4">
                  <c:v>214</c:v>
                </c:pt>
                <c:pt idx="5">
                  <c:v>223</c:v>
                </c:pt>
                <c:pt idx="6">
                  <c:v>1236</c:v>
                </c:pt>
                <c:pt idx="7">
                  <c:v>98</c:v>
                </c:pt>
                <c:pt idx="8">
                  <c:v>855</c:v>
                </c:pt>
                <c:pt idx="9">
                  <c:v>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C9-42E8-82B6-3B9444298EE7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sal-aug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Sheet2!$A$4:$A$15</c:f>
              <c:strCache>
                <c:ptCount val="11"/>
                <c:pt idx="0">
                  <c:v>abhi</c:v>
                </c:pt>
                <c:pt idx="1">
                  <c:v>akhil</c:v>
                </c:pt>
                <c:pt idx="2">
                  <c:v>atharv</c:v>
                </c:pt>
                <c:pt idx="3">
                  <c:v>atharva</c:v>
                </c:pt>
                <c:pt idx="4">
                  <c:v>kshitij</c:v>
                </c:pt>
                <c:pt idx="5">
                  <c:v>kunal</c:v>
                </c:pt>
                <c:pt idx="6">
                  <c:v>prathamesh</c:v>
                </c:pt>
                <c:pt idx="7">
                  <c:v>tanish</c:v>
                </c:pt>
                <c:pt idx="8">
                  <c:v>tanmay</c:v>
                </c:pt>
                <c:pt idx="9">
                  <c:v>yash</c:v>
                </c:pt>
                <c:pt idx="10">
                  <c:v>(blank)</c:v>
                </c:pt>
              </c:strCache>
            </c:strRef>
          </c:cat>
          <c:val>
            <c:numRef>
              <c:f>Sheet2!$C$4:$C$15</c:f>
              <c:numCache>
                <c:formatCode>General</c:formatCode>
                <c:ptCount val="11"/>
                <c:pt idx="0">
                  <c:v>100</c:v>
                </c:pt>
                <c:pt idx="1">
                  <c:v>557</c:v>
                </c:pt>
                <c:pt idx="2">
                  <c:v>1500</c:v>
                </c:pt>
                <c:pt idx="3">
                  <c:v>220</c:v>
                </c:pt>
                <c:pt idx="4">
                  <c:v>963</c:v>
                </c:pt>
                <c:pt idx="5">
                  <c:v>569</c:v>
                </c:pt>
                <c:pt idx="6">
                  <c:v>321</c:v>
                </c:pt>
                <c:pt idx="7">
                  <c:v>147</c:v>
                </c:pt>
                <c:pt idx="8">
                  <c:v>258</c:v>
                </c:pt>
                <c:pt idx="9">
                  <c:v>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C9-42E8-82B6-3B9444298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31608112"/>
        <c:axId val="2031613392"/>
      </c:barChart>
      <c:catAx>
        <c:axId val="2031608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613392"/>
        <c:crosses val="autoZero"/>
        <c:auto val="1"/>
        <c:lblAlgn val="ctr"/>
        <c:lblOffset val="100"/>
        <c:noMultiLvlLbl val="0"/>
      </c:catAx>
      <c:valAx>
        <c:axId val="20316133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60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91440</xdr:colOff>
      <xdr:row>3</xdr:row>
      <xdr:rowOff>45720</xdr:rowOff>
    </xdr:from>
    <xdr:to>
      <xdr:col>8</xdr:col>
      <xdr:colOff>396240</xdr:colOff>
      <xdr:row>18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A33839-7646-7891-03AA-D66EBBCBEB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inmay Deshpande" refreshedDate="46070.568640046295" createdVersion="8" refreshedVersion="8" minRefreshableVersion="3" recordCount="11" xr:uid="{71965B3F-17DC-4824-88EB-03C1FA7CFE10}">
  <cacheSource type="worksheet">
    <worksheetSource ref="A1:H1048576" sheet="Sheet1"/>
  </cacheSource>
  <cacheFields count="8">
    <cacheField name="sr no" numFmtId="0">
      <sharedItems containsString="0" containsBlank="1" containsNumber="1" containsInteger="1" minValue="1" maxValue="10" count="11">
        <n v="1"/>
        <n v="2"/>
        <n v="3"/>
        <n v="4"/>
        <n v="5"/>
        <n v="6"/>
        <n v="7"/>
        <n v="8"/>
        <n v="9"/>
        <n v="10"/>
        <m/>
      </sharedItems>
    </cacheField>
    <cacheField name="firstname" numFmtId="0">
      <sharedItems containsBlank="1" count="11">
        <s v="atharv"/>
        <s v="atharva"/>
        <s v="kunal"/>
        <s v="akhil"/>
        <s v="kshitij"/>
        <s v="tanish"/>
        <s v="tanmay"/>
        <s v="prathamesh"/>
        <s v="yash"/>
        <s v="abhi"/>
        <m/>
      </sharedItems>
    </cacheField>
    <cacheField name="middlename" numFmtId="0">
      <sharedItems containsBlank="1"/>
    </cacheField>
    <cacheField name="lastname" numFmtId="0">
      <sharedItems containsBlank="1"/>
    </cacheField>
    <cacheField name="sal- july" numFmtId="0">
      <sharedItems containsString="0" containsBlank="1" containsNumber="1" containsInteger="1" minValue="98" maxValue="1236"/>
    </cacheField>
    <cacheField name="sal-aug" numFmtId="0">
      <sharedItems containsString="0" containsBlank="1" containsNumber="1" containsInteger="1" minValue="100" maxValue="1500"/>
    </cacheField>
    <cacheField name="total sal" numFmtId="0">
      <sharedItems containsString="0" containsBlank="1" containsNumber="1" containsInteger="1" minValue="245" maxValue="1700"/>
    </cacheField>
    <cacheField name="fullna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x v="0"/>
    <s v="avinash"/>
    <s v="penter"/>
    <n v="200"/>
    <n v="1500"/>
    <n v="1700"/>
    <s v="atharvavinashpenter"/>
  </r>
  <r>
    <x v="1"/>
    <x v="1"/>
    <s v="ravi"/>
    <s v="kandekar"/>
    <n v="450"/>
    <n v="220"/>
    <n v="670"/>
    <s v="atharvaravikandekar"/>
  </r>
  <r>
    <x v="2"/>
    <x v="2"/>
    <s v="anil"/>
    <s v="sangle"/>
    <n v="223"/>
    <n v="569"/>
    <n v="792"/>
    <s v="kunalanilsangle"/>
  </r>
  <r>
    <x v="3"/>
    <x v="3"/>
    <s v="ashok"/>
    <s v="berad"/>
    <n v="569"/>
    <n v="557"/>
    <n v="1126"/>
    <s v="akhilashokberad"/>
  </r>
  <r>
    <x v="4"/>
    <x v="4"/>
    <s v="hari"/>
    <s v="gade"/>
    <n v="214"/>
    <n v="963"/>
    <n v="1177"/>
    <s v="kshitijharigade"/>
  </r>
  <r>
    <x v="5"/>
    <x v="5"/>
    <s v="madhav"/>
    <s v="gaikwad"/>
    <n v="98"/>
    <n v="147"/>
    <n v="245"/>
    <s v="tanishmadhavgaikwad"/>
  </r>
  <r>
    <x v="6"/>
    <x v="6"/>
    <s v="mayur"/>
    <s v="gujar"/>
    <n v="855"/>
    <n v="258"/>
    <n v="1113"/>
    <s v="tanmaymayurgujar"/>
  </r>
  <r>
    <x v="7"/>
    <x v="7"/>
    <s v="sudam"/>
    <s v="gaikwad"/>
    <n v="1236"/>
    <n v="321"/>
    <n v="1557"/>
    <s v="prathameshsudamgaikwad"/>
  </r>
  <r>
    <x v="8"/>
    <x v="8"/>
    <s v="ravi"/>
    <s v="kandekar"/>
    <n v="552"/>
    <n v="456"/>
    <n v="1008"/>
    <s v="yashravikandekar"/>
  </r>
  <r>
    <x v="9"/>
    <x v="9"/>
    <s v="ravi"/>
    <s v="kandekar"/>
    <n v="984"/>
    <n v="100"/>
    <n v="1084"/>
    <s v="abhiravikandekar"/>
  </r>
  <r>
    <x v="10"/>
    <x v="1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0445BE-E30D-44DD-9D1A-A4AA4E0685AB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15" firstHeaderRow="0" firstDataRow="1" firstDataCol="1"/>
  <pivotFields count="8"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Row" showAll="0">
      <items count="12">
        <item x="9"/>
        <item x="3"/>
        <item x="0"/>
        <item x="1"/>
        <item x="4"/>
        <item x="2"/>
        <item x="7"/>
        <item x="5"/>
        <item x="6"/>
        <item x="8"/>
        <item x="10"/>
        <item t="default"/>
      </items>
    </pivotField>
    <pivotField showAll="0"/>
    <pivotField showAll="0"/>
    <pivotField dataField="1" showAll="0"/>
    <pivotField dataField="1"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- july" fld="4" baseField="0" baseItem="0"/>
    <dataField name="Sum of sal-aug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4B74D-1BCB-4FA1-A2FD-2EE866573A0C}">
  <dimension ref="A3:C15"/>
  <sheetViews>
    <sheetView workbookViewId="0">
      <selection activeCell="G22" sqref="G22"/>
    </sheetView>
  </sheetViews>
  <sheetFormatPr defaultRowHeight="14.4" x14ac:dyDescent="0.3"/>
  <cols>
    <col min="1" max="1" width="12.5546875" bestFit="1" customWidth="1"/>
    <col min="2" max="2" width="14" bestFit="1" customWidth="1"/>
    <col min="3" max="3" width="13.5546875" bestFit="1" customWidth="1"/>
    <col min="4" max="11" width="15.5546875" bestFit="1" customWidth="1"/>
    <col min="12" max="13" width="10.77734375" bestFit="1" customWidth="1"/>
  </cols>
  <sheetData>
    <row r="3" spans="1:3" x14ac:dyDescent="0.3">
      <c r="A3" s="4" t="s">
        <v>32</v>
      </c>
      <c r="B3" t="s">
        <v>35</v>
      </c>
      <c r="C3" t="s">
        <v>36</v>
      </c>
    </row>
    <row r="4" spans="1:3" x14ac:dyDescent="0.3">
      <c r="A4" s="5" t="s">
        <v>15</v>
      </c>
      <c r="B4" s="6">
        <v>984</v>
      </c>
      <c r="C4" s="6">
        <v>100</v>
      </c>
    </row>
    <row r="5" spans="1:3" x14ac:dyDescent="0.3">
      <c r="A5" s="5" t="s">
        <v>9</v>
      </c>
      <c r="B5" s="6">
        <v>569</v>
      </c>
      <c r="C5" s="6">
        <v>557</v>
      </c>
    </row>
    <row r="6" spans="1:3" x14ac:dyDescent="0.3">
      <c r="A6" s="5" t="s">
        <v>6</v>
      </c>
      <c r="B6" s="6">
        <v>200</v>
      </c>
      <c r="C6" s="6">
        <v>1500</v>
      </c>
    </row>
    <row r="7" spans="1:3" x14ac:dyDescent="0.3">
      <c r="A7" s="5" t="s">
        <v>7</v>
      </c>
      <c r="B7" s="6">
        <v>450</v>
      </c>
      <c r="C7" s="6">
        <v>220</v>
      </c>
    </row>
    <row r="8" spans="1:3" x14ac:dyDescent="0.3">
      <c r="A8" s="5" t="s">
        <v>10</v>
      </c>
      <c r="B8" s="6">
        <v>214</v>
      </c>
      <c r="C8" s="6">
        <v>963</v>
      </c>
    </row>
    <row r="9" spans="1:3" x14ac:dyDescent="0.3">
      <c r="A9" s="5" t="s">
        <v>8</v>
      </c>
      <c r="B9" s="6">
        <v>223</v>
      </c>
      <c r="C9" s="6">
        <v>569</v>
      </c>
    </row>
    <row r="10" spans="1:3" x14ac:dyDescent="0.3">
      <c r="A10" s="5" t="s">
        <v>13</v>
      </c>
      <c r="B10" s="6">
        <v>1236</v>
      </c>
      <c r="C10" s="6">
        <v>321</v>
      </c>
    </row>
    <row r="11" spans="1:3" x14ac:dyDescent="0.3">
      <c r="A11" s="5" t="s">
        <v>11</v>
      </c>
      <c r="B11" s="6">
        <v>98</v>
      </c>
      <c r="C11" s="6">
        <v>147</v>
      </c>
    </row>
    <row r="12" spans="1:3" x14ac:dyDescent="0.3">
      <c r="A12" s="5" t="s">
        <v>12</v>
      </c>
      <c r="B12" s="6">
        <v>855</v>
      </c>
      <c r="C12" s="6">
        <v>258</v>
      </c>
    </row>
    <row r="13" spans="1:3" x14ac:dyDescent="0.3">
      <c r="A13" s="5" t="s">
        <v>14</v>
      </c>
      <c r="B13" s="6">
        <v>552</v>
      </c>
      <c r="C13" s="6">
        <v>456</v>
      </c>
    </row>
    <row r="14" spans="1:3" x14ac:dyDescent="0.3">
      <c r="A14" s="5" t="s">
        <v>33</v>
      </c>
      <c r="B14" s="6"/>
      <c r="C14" s="6"/>
    </row>
    <row r="15" spans="1:3" x14ac:dyDescent="0.3">
      <c r="A15" s="5" t="s">
        <v>34</v>
      </c>
      <c r="B15" s="6">
        <v>5381</v>
      </c>
      <c r="C15" s="6">
        <v>5091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65000-ABF0-403D-9FA5-BDC9B8B0B042}">
  <dimension ref="A1:J11"/>
  <sheetViews>
    <sheetView tabSelected="1" workbookViewId="0">
      <selection activeCell="G15" sqref="G15"/>
    </sheetView>
  </sheetViews>
  <sheetFormatPr defaultRowHeight="14.4" x14ac:dyDescent="0.3"/>
  <cols>
    <col min="1" max="1" width="10" bestFit="1" customWidth="1"/>
    <col min="2" max="2" width="14.5546875" bestFit="1" customWidth="1"/>
    <col min="3" max="3" width="17.33203125" bestFit="1" customWidth="1"/>
    <col min="4" max="4" width="14.109375" bestFit="1" customWidth="1"/>
    <col min="5" max="5" width="12.77734375" bestFit="1" customWidth="1"/>
    <col min="6" max="6" width="12.109375" bestFit="1" customWidth="1"/>
    <col min="7" max="8" width="23" bestFit="1" customWidth="1"/>
    <col min="9" max="9" width="11.33203125" bestFit="1" customWidth="1"/>
    <col min="10" max="10" width="8.5546875" bestFit="1" customWidth="1"/>
  </cols>
  <sheetData>
    <row r="1" spans="1:10" s="1" customFormat="1" ht="13.8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31</v>
      </c>
      <c r="I1" s="8" t="s">
        <v>37</v>
      </c>
      <c r="J1" s="8"/>
    </row>
    <row r="2" spans="1:10" x14ac:dyDescent="0.3">
      <c r="A2" s="3" t="s">
        <v>6</v>
      </c>
      <c r="B2" s="3" t="s">
        <v>16</v>
      </c>
      <c r="C2" s="3" t="s">
        <v>24</v>
      </c>
      <c r="D2" s="3">
        <v>200</v>
      </c>
      <c r="E2" s="3">
        <v>1500</v>
      </c>
      <c r="F2" s="3">
        <f>SUM(D2:E2)</f>
        <v>1700</v>
      </c>
      <c r="G2" s="2" t="str">
        <f>_xlfn.CONCAT(A2:C2)</f>
        <v>atharvavinashpenter</v>
      </c>
      <c r="I2" s="1" t="s">
        <v>0</v>
      </c>
      <c r="J2" s="1" t="s">
        <v>5</v>
      </c>
    </row>
    <row r="3" spans="1:10" x14ac:dyDescent="0.3">
      <c r="A3" s="3" t="s">
        <v>7</v>
      </c>
      <c r="B3" s="3" t="s">
        <v>17</v>
      </c>
      <c r="C3" s="3" t="s">
        <v>25</v>
      </c>
      <c r="D3" s="3">
        <v>450</v>
      </c>
      <c r="E3" s="3">
        <v>220</v>
      </c>
      <c r="F3" s="3">
        <f t="shared" ref="F3:F11" si="0">SUM(D3:E3)</f>
        <v>670</v>
      </c>
      <c r="G3" s="2" t="str">
        <f t="shared" ref="G3:G11" si="1">_xlfn.CONCAT(A3:C3)</f>
        <v>atharvaravikandekar</v>
      </c>
      <c r="I3" t="s">
        <v>12</v>
      </c>
      <c r="J3">
        <f>VLOOKUP(I3,$A$1:$F$11,6,0)</f>
        <v>1113</v>
      </c>
    </row>
    <row r="4" spans="1:10" x14ac:dyDescent="0.3">
      <c r="A4" s="3" t="s">
        <v>8</v>
      </c>
      <c r="B4" s="3" t="s">
        <v>18</v>
      </c>
      <c r="C4" s="3" t="s">
        <v>26</v>
      </c>
      <c r="D4" s="3">
        <v>223</v>
      </c>
      <c r="E4" s="3">
        <v>569</v>
      </c>
      <c r="F4" s="3">
        <f t="shared" si="0"/>
        <v>792</v>
      </c>
      <c r="G4" s="2" t="str">
        <f t="shared" si="1"/>
        <v>kunalanilsangle</v>
      </c>
    </row>
    <row r="5" spans="1:10" x14ac:dyDescent="0.3">
      <c r="A5" s="3" t="s">
        <v>9</v>
      </c>
      <c r="B5" s="3" t="s">
        <v>19</v>
      </c>
      <c r="C5" s="3" t="s">
        <v>27</v>
      </c>
      <c r="D5" s="3">
        <v>569</v>
      </c>
      <c r="E5" s="3">
        <v>557</v>
      </c>
      <c r="F5" s="3">
        <f t="shared" si="0"/>
        <v>1126</v>
      </c>
      <c r="G5" s="2" t="str">
        <f t="shared" si="1"/>
        <v>akhilashokberad</v>
      </c>
      <c r="I5" s="8" t="s">
        <v>38</v>
      </c>
      <c r="J5" s="8"/>
    </row>
    <row r="6" spans="1:10" x14ac:dyDescent="0.3">
      <c r="A6" s="3" t="s">
        <v>10</v>
      </c>
      <c r="B6" s="3" t="s">
        <v>20</v>
      </c>
      <c r="C6" s="3" t="s">
        <v>28</v>
      </c>
      <c r="D6" s="3">
        <v>214</v>
      </c>
      <c r="E6" s="3">
        <v>963</v>
      </c>
      <c r="F6" s="3">
        <f t="shared" si="0"/>
        <v>1177</v>
      </c>
      <c r="G6" s="2" t="str">
        <f t="shared" si="1"/>
        <v>kshitijharigade</v>
      </c>
      <c r="I6" s="1" t="s">
        <v>0</v>
      </c>
      <c r="J6" s="1" t="s">
        <v>5</v>
      </c>
    </row>
    <row r="7" spans="1:10" x14ac:dyDescent="0.3">
      <c r="A7" s="3" t="s">
        <v>11</v>
      </c>
      <c r="B7" s="3" t="s">
        <v>21</v>
      </c>
      <c r="C7" s="3" t="s">
        <v>29</v>
      </c>
      <c r="D7" s="3">
        <v>98</v>
      </c>
      <c r="E7" s="3">
        <v>147</v>
      </c>
      <c r="F7" s="3">
        <f t="shared" si="0"/>
        <v>245</v>
      </c>
      <c r="G7" s="2" t="str">
        <f t="shared" si="1"/>
        <v>tanishmadhavgaikwad</v>
      </c>
      <c r="I7" t="s">
        <v>11</v>
      </c>
      <c r="J7" t="e">
        <f>HLOOKUP(I7,$A$1:$F$11,2,0)</f>
        <v>#N/A</v>
      </c>
    </row>
    <row r="8" spans="1:10" x14ac:dyDescent="0.3">
      <c r="A8" s="3" t="s">
        <v>12</v>
      </c>
      <c r="B8" s="3" t="s">
        <v>22</v>
      </c>
      <c r="C8" s="3" t="s">
        <v>30</v>
      </c>
      <c r="D8" s="3">
        <v>855</v>
      </c>
      <c r="E8" s="3">
        <v>258</v>
      </c>
      <c r="F8" s="3">
        <f t="shared" si="0"/>
        <v>1113</v>
      </c>
      <c r="G8" s="2" t="str">
        <f t="shared" si="1"/>
        <v>tanmaymayurgujar</v>
      </c>
    </row>
    <row r="9" spans="1:10" x14ac:dyDescent="0.3">
      <c r="A9" s="3" t="s">
        <v>13</v>
      </c>
      <c r="B9" s="3" t="s">
        <v>23</v>
      </c>
      <c r="C9" s="3" t="s">
        <v>29</v>
      </c>
      <c r="D9" s="3">
        <v>1236</v>
      </c>
      <c r="E9" s="3">
        <v>321</v>
      </c>
      <c r="F9" s="3">
        <f t="shared" si="0"/>
        <v>1557</v>
      </c>
      <c r="G9" s="2" t="str">
        <f t="shared" si="1"/>
        <v>prathameshsudamgaikwad</v>
      </c>
    </row>
    <row r="10" spans="1:10" x14ac:dyDescent="0.3">
      <c r="A10" s="3" t="s">
        <v>14</v>
      </c>
      <c r="B10" s="3" t="s">
        <v>17</v>
      </c>
      <c r="C10" s="3" t="s">
        <v>25</v>
      </c>
      <c r="D10" s="3">
        <v>552</v>
      </c>
      <c r="E10" s="3">
        <v>456</v>
      </c>
      <c r="F10" s="3">
        <f t="shared" si="0"/>
        <v>1008</v>
      </c>
      <c r="G10" s="2" t="str">
        <f t="shared" si="1"/>
        <v>yashravikandekar</v>
      </c>
    </row>
    <row r="11" spans="1:10" x14ac:dyDescent="0.3">
      <c r="A11" s="3" t="s">
        <v>15</v>
      </c>
      <c r="B11" s="3" t="s">
        <v>17</v>
      </c>
      <c r="C11" s="3" t="s">
        <v>25</v>
      </c>
      <c r="D11" s="3">
        <v>984</v>
      </c>
      <c r="E11" s="3">
        <v>100</v>
      </c>
      <c r="F11" s="3">
        <f t="shared" si="0"/>
        <v>1084</v>
      </c>
      <c r="G11" s="2" t="str">
        <f t="shared" si="1"/>
        <v>abhiravikandekar</v>
      </c>
    </row>
  </sheetData>
  <mergeCells count="2">
    <mergeCell ref="I1:J1"/>
    <mergeCell ref="I5:J5"/>
  </mergeCells>
  <dataValidations count="1">
    <dataValidation type="list" allowBlank="1" showInputMessage="1" showErrorMessage="1" sqref="I3 I7" xr:uid="{84320B5D-9162-4D4F-87C0-EFD54B897B59}">
      <formula1>$A$2:$A$11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minskole opc</dc:creator>
  <cp:lastModifiedBy>minskole opc</cp:lastModifiedBy>
  <dcterms:created xsi:type="dcterms:W3CDTF">2026-02-17T07:58:24Z</dcterms:created>
  <dcterms:modified xsi:type="dcterms:W3CDTF">2026-02-17T08:40:54Z</dcterms:modified>
</cp:coreProperties>
</file>