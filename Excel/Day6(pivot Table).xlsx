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hinmay Deshpande\Desktop\Atharv Penter\Excel\"/>
    </mc:Choice>
  </mc:AlternateContent>
  <xr:revisionPtr revIDLastSave="0" documentId="8_{8E8DB06E-12C8-428F-AF2B-C6F1611D5081}" xr6:coauthVersionLast="47" xr6:coauthVersionMax="47" xr10:uidLastSave="{00000000-0000-0000-0000-000000000000}"/>
  <bookViews>
    <workbookView xWindow="-108" yWindow="-108" windowWidth="23256" windowHeight="12456" tabRatio="884" xr2:uid="{4A79C6A5-4322-4BA2-87E2-248A552364AA}"/>
  </bookViews>
  <sheets>
    <sheet name="Day6(Pivot Table)" sheetId="6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6" l="1"/>
  <c r="I6" i="6"/>
  <c r="H6" i="6"/>
  <c r="J5" i="6"/>
  <c r="I5" i="6"/>
  <c r="H5" i="6"/>
  <c r="J4" i="6"/>
  <c r="I4" i="6"/>
  <c r="H4" i="6"/>
  <c r="J3" i="6"/>
  <c r="I3" i="6"/>
  <c r="H3" i="6"/>
  <c r="J2" i="6"/>
  <c r="I2" i="6"/>
  <c r="H2" i="6"/>
</calcChain>
</file>

<file path=xl/sharedStrings.xml><?xml version="1.0" encoding="utf-8"?>
<sst xmlns="http://schemas.openxmlformats.org/spreadsheetml/2006/main" count="34" uniqueCount="34">
  <si>
    <t>Sr. No</t>
  </si>
  <si>
    <t>Firstname</t>
  </si>
  <si>
    <t>Lastname</t>
  </si>
  <si>
    <t>Date of Joining</t>
  </si>
  <si>
    <t>Sal - June</t>
  </si>
  <si>
    <t>Sal - July</t>
  </si>
  <si>
    <t>Sal - Aug</t>
  </si>
  <si>
    <t>Avg - Sal</t>
  </si>
  <si>
    <t>Total - Sal</t>
  </si>
  <si>
    <t>Atharv</t>
  </si>
  <si>
    <t>Kshitij</t>
  </si>
  <si>
    <t>Kunal</t>
  </si>
  <si>
    <t>Prajwal</t>
  </si>
  <si>
    <t>Shreyash</t>
  </si>
  <si>
    <t>Penter</t>
  </si>
  <si>
    <t>Gade</t>
  </si>
  <si>
    <t>Sangle</t>
  </si>
  <si>
    <t>Dighe</t>
  </si>
  <si>
    <t>Dhole</t>
  </si>
  <si>
    <t>29/8/2024</t>
  </si>
  <si>
    <t>16/7/2024</t>
  </si>
  <si>
    <t>Full Name</t>
  </si>
  <si>
    <t>Row Labels</t>
  </si>
  <si>
    <t>Grand Total</t>
  </si>
  <si>
    <t>Atharv Penter</t>
  </si>
  <si>
    <t>Kshitij Gade</t>
  </si>
  <si>
    <t>Kunal Sangle</t>
  </si>
  <si>
    <t>Prajwal Dighe</t>
  </si>
  <si>
    <t>Shreyash Dhole</t>
  </si>
  <si>
    <t>Sum of Avg - Sal</t>
  </si>
  <si>
    <t>PIVOT TABLE ---&gt;</t>
  </si>
  <si>
    <t>To create Pivot Table we just need to go to insert in that select pivot table option, then by deault it select tables, then it has four options filter, columns,rows,values.</t>
  </si>
  <si>
    <t>we can also change the sum values by right click on the value then go to value field setting then in that select avg,sum,count,etc.</t>
  </si>
  <si>
    <t>Max of Total - 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</si>
</sst>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nmay Deshpande" refreshedDate="45917.554976157408" createdVersion="8" refreshedVersion="8" minRefreshableVersion="3" recordCount="5" xr:uid="{35681EC0-3C27-4A46-B72B-1973DFCCC6FE}">
  <cacheSource type="worksheet">
    <worksheetSource ref="A1:J6" sheet="Day6(Pivot Table)"/>
  </cacheSource>
  <cacheFields count="10">
    <cacheField name="Sr. No" numFmtId="0">
      <sharedItems containsSemiMixedTypes="0" containsString="0" containsNumber="1" containsInteger="1" minValue="1" maxValue="5"/>
    </cacheField>
    <cacheField name="Firstname" numFmtId="0">
      <sharedItems count="5">
        <s v="Atharv"/>
        <s v="Kshitij"/>
        <s v="Kunal"/>
        <s v="Prajwal"/>
        <s v="Shreyash"/>
      </sharedItems>
    </cacheField>
    <cacheField name="Lastname" numFmtId="0">
      <sharedItems/>
    </cacheField>
    <cacheField name="Date of Joining" numFmtId="0">
      <sharedItems containsDate="1" containsMixedTypes="1" minDate="2024-01-09T00:00:00" maxDate="2024-12-02T00:00:00"/>
    </cacheField>
    <cacheField name="Sal - June" numFmtId="0">
      <sharedItems containsSemiMixedTypes="0" containsString="0" containsNumber="1" containsInteger="1" minValue="15000" maxValue="21000"/>
    </cacheField>
    <cacheField name="Sal - July" numFmtId="0">
      <sharedItems containsSemiMixedTypes="0" containsString="0" containsNumber="1" containsInteger="1" minValue="16000" maxValue="22000"/>
    </cacheField>
    <cacheField name="Sal - Aug" numFmtId="0">
      <sharedItems containsSemiMixedTypes="0" containsString="0" containsNumber="1" containsInteger="1" minValue="20000" maxValue="27000"/>
    </cacheField>
    <cacheField name="Avg - Sal" numFmtId="0">
      <sharedItems containsSemiMixedTypes="0" containsString="0" containsNumber="1" minValue="17000" maxValue="22000"/>
    </cacheField>
    <cacheField name="Total - Sal" numFmtId="0">
      <sharedItems containsSemiMixedTypes="0" containsString="0" containsNumber="1" containsInteger="1" minValue="51000" maxValue="66000"/>
    </cacheField>
    <cacheField name="Full Name" numFmtId="0">
      <sharedItems count="5">
        <s v="Atharv Penter"/>
        <s v="Kshitij Gade"/>
        <s v="Kunal Sangle"/>
        <s v="Prajwal Dighe"/>
        <s v="Shreyash Dho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x v="0"/>
    <s v="Penter"/>
    <d v="2024-02-07T00:00:00"/>
    <n v="16000"/>
    <n v="21000"/>
    <n v="27000"/>
    <n v="21333.333333333332"/>
    <n v="64000"/>
    <x v="0"/>
  </r>
  <r>
    <n v="2"/>
    <x v="1"/>
    <s v="Gade"/>
    <d v="2024-01-09T00:00:00"/>
    <n v="17000"/>
    <n v="19000"/>
    <n v="26000"/>
    <n v="20666.666666666668"/>
    <n v="62000"/>
    <x v="1"/>
  </r>
  <r>
    <n v="3"/>
    <x v="2"/>
    <s v="Sangle"/>
    <d v="2024-12-01T00:00:00"/>
    <n v="16000"/>
    <n v="20000"/>
    <n v="22200"/>
    <n v="19400"/>
    <n v="58200"/>
    <x v="2"/>
  </r>
  <r>
    <n v="4"/>
    <x v="3"/>
    <s v="Dighe"/>
    <s v="16/7/2024"/>
    <n v="15000"/>
    <n v="16000"/>
    <n v="20000"/>
    <n v="17000"/>
    <n v="51000"/>
    <x v="3"/>
  </r>
  <r>
    <n v="5"/>
    <x v="4"/>
    <s v="Dhole"/>
    <s v="29/8/2024"/>
    <n v="21000"/>
    <n v="22000"/>
    <n v="23000"/>
    <n v="22000"/>
    <n v="6600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C5626E-1B0E-42DC-92BD-63969C03ACD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C15" firstHeaderRow="0" firstDataRow="1" firstDataCol="1"/>
  <pivotFields count="10"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vg - Sal" fld="7" baseField="0" baseItem="0"/>
    <dataField name="Max of Total - Sal" fld="8" subtotal="max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32B3-B820-4382-A04B-682591DA5652}">
  <dimension ref="A1:J19"/>
  <sheetViews>
    <sheetView tabSelected="1" zoomScale="130" zoomScaleNormal="130" workbookViewId="0">
      <selection sqref="A1:XFD1048576"/>
    </sheetView>
  </sheetViews>
  <sheetFormatPr defaultRowHeight="14.4" x14ac:dyDescent="0.3"/>
  <cols>
    <col min="1" max="1" width="14" bestFit="1" customWidth="1"/>
    <col min="2" max="2" width="14.77734375" bestFit="1" customWidth="1"/>
    <col min="3" max="3" width="15.6640625" bestFit="1" customWidth="1"/>
    <col min="4" max="4" width="13.5546875" bestFit="1" customWidth="1"/>
    <col min="6" max="6" width="8.21875" bestFit="1" customWidth="1"/>
    <col min="7" max="7" width="8.33203125" bestFit="1" customWidth="1"/>
    <col min="8" max="8" width="8.21875" bestFit="1" customWidth="1"/>
    <col min="9" max="9" width="9.21875" bestFit="1" customWidth="1"/>
    <col min="10" max="10" width="14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21</v>
      </c>
    </row>
    <row r="2" spans="1:10" x14ac:dyDescent="0.3">
      <c r="A2" s="2">
        <v>1</v>
      </c>
      <c r="B2" s="2" t="s">
        <v>9</v>
      </c>
      <c r="C2" s="2" t="s">
        <v>14</v>
      </c>
      <c r="D2" s="4">
        <v>45329</v>
      </c>
      <c r="E2" s="2">
        <v>16000</v>
      </c>
      <c r="F2" s="2">
        <v>21000</v>
      </c>
      <c r="G2" s="2">
        <v>27000</v>
      </c>
      <c r="H2" s="3">
        <f>AVERAGE(E2,F2,G2)</f>
        <v>21333.333333333332</v>
      </c>
      <c r="I2" s="2">
        <f>SUM(E2,F2,G2)</f>
        <v>64000</v>
      </c>
      <c r="J2" s="2" t="str">
        <f>CONCATENATE(B2," ",C2)</f>
        <v>Atharv Penter</v>
      </c>
    </row>
    <row r="3" spans="1:10" x14ac:dyDescent="0.3">
      <c r="A3" s="2">
        <v>2</v>
      </c>
      <c r="B3" s="2" t="s">
        <v>10</v>
      </c>
      <c r="C3" s="2" t="s">
        <v>15</v>
      </c>
      <c r="D3" s="4">
        <v>45300</v>
      </c>
      <c r="E3" s="2">
        <v>17000</v>
      </c>
      <c r="F3" s="2">
        <v>19000</v>
      </c>
      <c r="G3" s="2">
        <v>26000</v>
      </c>
      <c r="H3" s="3">
        <f t="shared" ref="H3:H6" si="0">AVERAGE(E3,F3,G3)</f>
        <v>20666.666666666668</v>
      </c>
      <c r="I3" s="2">
        <f t="shared" ref="I3:I6" si="1">SUM(E3,F3,G3)</f>
        <v>62000</v>
      </c>
      <c r="J3" s="2" t="str">
        <f>CONCATENATE(B3," ",C3)</f>
        <v>Kshitij Gade</v>
      </c>
    </row>
    <row r="4" spans="1:10" x14ac:dyDescent="0.3">
      <c r="A4" s="2">
        <v>3</v>
      </c>
      <c r="B4" s="2" t="s">
        <v>11</v>
      </c>
      <c r="C4" s="2" t="s">
        <v>16</v>
      </c>
      <c r="D4" s="4">
        <v>45627</v>
      </c>
      <c r="E4" s="2">
        <v>16000</v>
      </c>
      <c r="F4" s="2">
        <v>20000</v>
      </c>
      <c r="G4" s="2">
        <v>22200</v>
      </c>
      <c r="H4" s="2">
        <f t="shared" si="0"/>
        <v>19400</v>
      </c>
      <c r="I4" s="2">
        <f t="shared" si="1"/>
        <v>58200</v>
      </c>
      <c r="J4" s="2" t="str">
        <f t="shared" ref="J4:J5" si="2">CONCATENATE(B4," ",C4)</f>
        <v>Kunal Sangle</v>
      </c>
    </row>
    <row r="5" spans="1:10" x14ac:dyDescent="0.3">
      <c r="A5" s="2">
        <v>4</v>
      </c>
      <c r="B5" s="2" t="s">
        <v>12</v>
      </c>
      <c r="C5" s="2" t="s">
        <v>17</v>
      </c>
      <c r="D5" s="2" t="s">
        <v>20</v>
      </c>
      <c r="E5" s="2">
        <v>15000</v>
      </c>
      <c r="F5" s="2">
        <v>16000</v>
      </c>
      <c r="G5" s="2">
        <v>20000</v>
      </c>
      <c r="H5" s="2">
        <f t="shared" si="0"/>
        <v>17000</v>
      </c>
      <c r="I5" s="2">
        <f t="shared" si="1"/>
        <v>51000</v>
      </c>
      <c r="J5" s="2" t="str">
        <f t="shared" si="2"/>
        <v>Prajwal Dighe</v>
      </c>
    </row>
    <row r="6" spans="1:10" x14ac:dyDescent="0.3">
      <c r="A6" s="2">
        <v>5</v>
      </c>
      <c r="B6" s="2" t="s">
        <v>13</v>
      </c>
      <c r="C6" s="2" t="s">
        <v>18</v>
      </c>
      <c r="D6" s="2" t="s">
        <v>19</v>
      </c>
      <c r="E6" s="2">
        <v>21000</v>
      </c>
      <c r="F6" s="2">
        <v>22000</v>
      </c>
      <c r="G6" s="2">
        <v>23000</v>
      </c>
      <c r="H6" s="2">
        <f t="shared" si="0"/>
        <v>22000</v>
      </c>
      <c r="I6" s="2">
        <f t="shared" si="1"/>
        <v>66000</v>
      </c>
      <c r="J6" s="2" t="str">
        <f>CONCATENATE(B6," ",C6)</f>
        <v>Shreyash Dhole</v>
      </c>
    </row>
    <row r="8" spans="1:10" x14ac:dyDescent="0.3">
      <c r="A8" t="s">
        <v>30</v>
      </c>
    </row>
    <row r="9" spans="1:10" x14ac:dyDescent="0.3">
      <c r="A9" s="5" t="s">
        <v>22</v>
      </c>
      <c r="B9" t="s">
        <v>29</v>
      </c>
      <c r="C9" t="s">
        <v>33</v>
      </c>
    </row>
    <row r="10" spans="1:10" x14ac:dyDescent="0.3">
      <c r="A10" s="6" t="s">
        <v>24</v>
      </c>
      <c r="B10">
        <v>21333.333333333332</v>
      </c>
      <c r="C10">
        <v>64000</v>
      </c>
    </row>
    <row r="11" spans="1:10" x14ac:dyDescent="0.3">
      <c r="A11" s="6" t="s">
        <v>25</v>
      </c>
      <c r="B11">
        <v>20666.666666666668</v>
      </c>
      <c r="C11">
        <v>62000</v>
      </c>
    </row>
    <row r="12" spans="1:10" x14ac:dyDescent="0.3">
      <c r="A12" s="6" t="s">
        <v>26</v>
      </c>
      <c r="B12">
        <v>19400</v>
      </c>
      <c r="C12">
        <v>58200</v>
      </c>
    </row>
    <row r="13" spans="1:10" x14ac:dyDescent="0.3">
      <c r="A13" s="6" t="s">
        <v>27</v>
      </c>
      <c r="B13">
        <v>17000</v>
      </c>
      <c r="C13">
        <v>51000</v>
      </c>
    </row>
    <row r="14" spans="1:10" x14ac:dyDescent="0.3">
      <c r="A14" s="6" t="s">
        <v>28</v>
      </c>
      <c r="B14">
        <v>22000</v>
      </c>
      <c r="C14">
        <v>66000</v>
      </c>
    </row>
    <row r="15" spans="1:10" x14ac:dyDescent="0.3">
      <c r="A15" s="6" t="s">
        <v>23</v>
      </c>
      <c r="B15">
        <v>100400</v>
      </c>
      <c r="C15">
        <v>66000</v>
      </c>
    </row>
    <row r="18" spans="1:1" x14ac:dyDescent="0.3">
      <c r="A18" s="6" t="s">
        <v>31</v>
      </c>
    </row>
    <row r="19" spans="1:1" x14ac:dyDescent="0.3">
      <c r="A19" s="6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E9EDDD-1EC7-40A3-8370-D5293829EA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Day6(Pivot Table)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minskole opc</dc:creator>
  <cp:lastModifiedBy>minskole opc</cp:lastModifiedBy>
  <dcterms:created xsi:type="dcterms:W3CDTF">2025-09-11T07:51:54Z</dcterms:created>
  <dcterms:modified xsi:type="dcterms:W3CDTF">2025-11-06T09:16:15Z</dcterms:modified>
</cp:coreProperties>
</file>